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_rels/workbook.xml.rels" ContentType="application/vnd.openxmlformats-package.relationships+xml"/>
  <Override PartName="/xl/media/image15.wmf" ContentType="image/x-wmf"/>
  <Override PartName="/xl/media/image16.wmf" ContentType="image/x-wmf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3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2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udos" sheetId="1" state="visible" r:id="rId2"/>
    <sheet name="Tablas dinámicas probando" sheetId="2" state="visible" r:id="rId3"/>
    <sheet name="Crudos simplificado" sheetId="3" state="visible" r:id="rId4"/>
    <sheet name="Análisis" sheetId="4" state="visible" r:id="rId5"/>
    <sheet name="Factorial_INFOSTAT" sheetId="5" state="visible" r:id="rId6"/>
  </sheets>
  <calcPr iterateCount="100" refMode="A1" iterate="false" iterateDelta="0.0001"/>
  <pivotCaches>
    <pivotCache cacheId="1" r:id="rId8"/>
    <pivotCache cacheId="2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<sst xmlns="http://schemas.openxmlformats.org/spreadsheetml/2006/main" count="3690" uniqueCount="296">
  <si>
    <t xml:space="preserve">Alturas</t>
  </si>
  <si>
    <t xml:space="preserve">Fecha</t>
  </si>
  <si>
    <t xml:space="preserve">Mes</t>
  </si>
  <si>
    <t xml:space="preserve">Parcela</t>
  </si>
  <si>
    <t xml:space="preserve">Forma de vida</t>
  </si>
  <si>
    <t xml:space="preserve">0 - 0,25</t>
  </si>
  <si>
    <t xml:space="preserve">0,25 - 0,50</t>
  </si>
  <si>
    <t xml:space="preserve">0,50 - 0,75</t>
  </si>
  <si>
    <t xml:space="preserve">0,75 - 1,00</t>
  </si>
  <si>
    <t xml:space="preserve">1,00 - 1,25</t>
  </si>
  <si>
    <t xml:space="preserve">1,25 - 1,50</t>
  </si>
  <si>
    <t xml:space="preserve">Quebrados Nuevos</t>
  </si>
  <si>
    <t xml:space="preserve">Diciembre</t>
  </si>
  <si>
    <t xml:space="preserve">Gramineas </t>
  </si>
  <si>
    <t xml:space="preserve">Latifoliadas</t>
  </si>
  <si>
    <t xml:space="preserve">Arbustos</t>
  </si>
  <si>
    <t xml:space="preserve">Lianas / Enredaderas</t>
  </si>
  <si>
    <t xml:space="preserve">Arboles</t>
  </si>
  <si>
    <t xml:space="preserve">Helechos</t>
  </si>
  <si>
    <t xml:space="preserve">Octubre</t>
  </si>
  <si>
    <t xml:space="preserve">Agosto</t>
  </si>
  <si>
    <t xml:space="preserve">Junio</t>
  </si>
  <si>
    <t xml:space="preserve">Abril</t>
  </si>
  <si>
    <t xml:space="preserve">Febrero</t>
  </si>
  <si>
    <t xml:space="preserve">Promedio de Quebrados Nuevos</t>
  </si>
  <si>
    <t xml:space="preserve">Quiebres</t>
  </si>
  <si>
    <t xml:space="preserve">Meses</t>
  </si>
  <si>
    <t xml:space="preserve">Sumatoria</t>
  </si>
  <si>
    <t xml:space="preserve">Cober. total</t>
  </si>
  <si>
    <t xml:space="preserve">Peso de frutos</t>
  </si>
  <si>
    <t xml:space="preserve">Cober.  0 - 0,5 m</t>
  </si>
  <si>
    <t xml:space="preserve">Cober 0,5 - 1 m</t>
  </si>
  <si>
    <t xml:space="preserve">Cober 1 - 1,5 m</t>
  </si>
  <si>
    <t xml:space="preserve">Suma de quiebres</t>
  </si>
  <si>
    <t xml:space="preserve">Feb</t>
  </si>
  <si>
    <t xml:space="preserve">Abr</t>
  </si>
  <si>
    <t xml:space="preserve">Jun</t>
  </si>
  <si>
    <t xml:space="preserve">Ago</t>
  </si>
  <si>
    <t xml:space="preserve">Oct</t>
  </si>
  <si>
    <t xml:space="preserve">Dic</t>
  </si>
  <si>
    <t xml:space="preserve">Total Resultado</t>
  </si>
  <si>
    <t xml:space="preserve">(vacío)</t>
  </si>
  <si>
    <t xml:space="preserve">Datos</t>
  </si>
  <si>
    <t xml:space="preserve">Suma de Quebrados Nuevos</t>
  </si>
  <si>
    <t xml:space="preserve">Suma de 0 - 0,25</t>
  </si>
  <si>
    <t xml:space="preserve">Suma de 0,25 - 0,50</t>
  </si>
  <si>
    <t xml:space="preserve">Suma de 0,50 - 0,75</t>
  </si>
  <si>
    <t xml:space="preserve">Suma de 0,75 - 1,00</t>
  </si>
  <si>
    <t xml:space="preserve">Suma de 1,00 - 1,25</t>
  </si>
  <si>
    <t xml:space="preserve">mes</t>
  </si>
  <si>
    <t xml:space="preserve">sumatoria0 a 0,5 m</t>
  </si>
  <si>
    <t xml:space="preserve">f</t>
  </si>
  <si>
    <t xml:space="preserve">Prueba de Kruskal Wallis</t>
  </si>
  <si>
    <t xml:space="preserve">     Variable     </t>
  </si>
  <si>
    <t xml:space="preserve">meses</t>
  </si>
  <si>
    <t xml:space="preserve">N </t>
  </si>
  <si>
    <t xml:space="preserve">Medias</t>
  </si>
  <si>
    <t xml:space="preserve">D.E.</t>
  </si>
  <si>
    <t xml:space="preserve">gl</t>
  </si>
  <si>
    <t xml:space="preserve"> H   </t>
  </si>
  <si>
    <t xml:space="preserve">  p   </t>
  </si>
  <si>
    <t xml:space="preserve">Nº quiebres nuevos</t>
  </si>
  <si>
    <t xml:space="preserve">ab   </t>
  </si>
  <si>
    <t xml:space="preserve">ag   </t>
  </si>
  <si>
    <t xml:space="preserve">  </t>
  </si>
  <si>
    <t xml:space="preserve">     </t>
  </si>
  <si>
    <t xml:space="preserve">      </t>
  </si>
  <si>
    <t xml:space="preserve">REGRESION Nº DE QUIEBRES CON LA SUMATORIA TOTAL DE COBERTURA</t>
  </si>
  <si>
    <t xml:space="preserve">d    </t>
  </si>
  <si>
    <t xml:space="preserve">    Variable     </t>
  </si>
  <si>
    <t xml:space="preserve"> R² </t>
  </si>
  <si>
    <t xml:space="preserve">R² Aj</t>
  </si>
  <si>
    <t xml:space="preserve">ECMP</t>
  </si>
  <si>
    <t xml:space="preserve"> AIC  </t>
  </si>
  <si>
    <t xml:space="preserve"> BIC  </t>
  </si>
  <si>
    <t xml:space="preserve">ab</t>
  </si>
  <si>
    <t xml:space="preserve">f    </t>
  </si>
  <si>
    <t xml:space="preserve">j    </t>
  </si>
  <si>
    <t xml:space="preserve">o    </t>
  </si>
  <si>
    <t xml:space="preserve">Coeficientes de regresión y estadísticos asociados</t>
  </si>
  <si>
    <t xml:space="preserve">        Coef         </t>
  </si>
  <si>
    <t xml:space="preserve">Est. </t>
  </si>
  <si>
    <t xml:space="preserve">E.E.</t>
  </si>
  <si>
    <t xml:space="preserve">LI(95%)</t>
  </si>
  <si>
    <t xml:space="preserve">LS(95%)</t>
  </si>
  <si>
    <t xml:space="preserve"> T   </t>
  </si>
  <si>
    <t xml:space="preserve">p-valor</t>
  </si>
  <si>
    <t xml:space="preserve">CpMallows</t>
  </si>
  <si>
    <t xml:space="preserve">Trat.</t>
  </si>
  <si>
    <t xml:space="preserve">Ranks</t>
  </si>
  <si>
    <t xml:space="preserve">const                </t>
  </si>
  <si>
    <t xml:space="preserve">         </t>
  </si>
  <si>
    <t xml:space="preserve">A </t>
  </si>
  <si>
    <t xml:space="preserve">Suma Toques cobertura</t>
  </si>
  <si>
    <t xml:space="preserve">B </t>
  </si>
  <si>
    <t xml:space="preserve">Cuadro de Análisis de la Varianza (SC tipo III)</t>
  </si>
  <si>
    <t xml:space="preserve">        F.V.         </t>
  </si>
  <si>
    <t xml:space="preserve"> SC   </t>
  </si>
  <si>
    <t xml:space="preserve"> CM  </t>
  </si>
  <si>
    <t xml:space="preserve"> F  </t>
  </si>
  <si>
    <t xml:space="preserve">Modelo.              </t>
  </si>
  <si>
    <t xml:space="preserve">j</t>
  </si>
  <si>
    <t xml:space="preserve">Medias con una letra común no son significativamente diferentes(p&lt;= 0,05)</t>
  </si>
  <si>
    <t xml:space="preserve">Error                </t>
  </si>
  <si>
    <t xml:space="preserve">    </t>
  </si>
  <si>
    <t xml:space="preserve">       </t>
  </si>
  <si>
    <t xml:space="preserve">Total                </t>
  </si>
  <si>
    <t xml:space="preserve">      Variable       </t>
  </si>
  <si>
    <t xml:space="preserve">D.E. </t>
  </si>
  <si>
    <t xml:space="preserve">  p    </t>
  </si>
  <si>
    <t xml:space="preserve">REGRESION Nº DE QUIEBRES CON LA SUMATORIA PARA LA COBERTURA DE 0 A 0,5 M</t>
  </si>
  <si>
    <t xml:space="preserve">&lt;0,0001</t>
  </si>
  <si>
    <t xml:space="preserve"> Variable     </t>
  </si>
  <si>
    <t xml:space="preserve">      Coef        </t>
  </si>
  <si>
    <t xml:space="preserve">const             </t>
  </si>
  <si>
    <t xml:space="preserve">ag</t>
  </si>
  <si>
    <t xml:space="preserve">suma cober 0-0,5 m</t>
  </si>
  <si>
    <t xml:space="preserve">      F.V.        </t>
  </si>
  <si>
    <t xml:space="preserve">Modelo.           </t>
  </si>
  <si>
    <t xml:space="preserve">C </t>
  </si>
  <si>
    <t xml:space="preserve">D </t>
  </si>
  <si>
    <t xml:space="preserve">Error             </t>
  </si>
  <si>
    <t xml:space="preserve">Total             </t>
  </si>
  <si>
    <t xml:space="preserve">o</t>
  </si>
  <si>
    <t xml:space="preserve">d</t>
  </si>
  <si>
    <t xml:space="preserve">0 - 0,5</t>
  </si>
  <si>
    <t xml:space="preserve">0,5 - 1</t>
  </si>
  <si>
    <t xml:space="preserve">1 - 1,5</t>
  </si>
  <si>
    <t xml:space="preserve">Suma de 0 - 0,5</t>
  </si>
  <si>
    <t xml:space="preserve">Suma de 0,5 - 1</t>
  </si>
  <si>
    <t xml:space="preserve">Suma de 1 - 1,5</t>
  </si>
  <si>
    <t xml:space="preserve">PLANILLA PASADA EN LIMPIO Y ABREVIADA</t>
  </si>
  <si>
    <t xml:space="preserve">Toques 0 - 0,5 m</t>
  </si>
  <si>
    <t xml:space="preserve">Toques 0,5 - 1 m</t>
  </si>
  <si>
    <t xml:space="preserve">Toques 1 - 1,5 m</t>
  </si>
  <si>
    <t xml:space="preserve">Toques totales</t>
  </si>
  <si>
    <t xml:space="preserve">Dif (0-0,5m)-Quiebres</t>
  </si>
  <si>
    <t xml:space="preserve">Dif (0,5-1m)-Quiebres</t>
  </si>
  <si>
    <t xml:space="preserve">Dif (1-1,5m)-Quiebres</t>
  </si>
  <si>
    <t xml:space="preserve">Dif (0-1,5m)-Quiebres</t>
  </si>
  <si>
    <t xml:space="preserve">Medidas resumen</t>
  </si>
  <si>
    <t xml:space="preserve">  Variable     </t>
  </si>
  <si>
    <t xml:space="preserve">n </t>
  </si>
  <si>
    <t xml:space="preserve">Media</t>
  </si>
  <si>
    <t xml:space="preserve"> Mín  </t>
  </si>
  <si>
    <t xml:space="preserve"> Máx </t>
  </si>
  <si>
    <t xml:space="preserve">Toques 0-0,5m  </t>
  </si>
  <si>
    <t xml:space="preserve">Toques 0,5-1m  </t>
  </si>
  <si>
    <t xml:space="preserve">Toques 1-1,5m  </t>
  </si>
  <si>
    <t xml:space="preserve">Toques totales </t>
  </si>
  <si>
    <t xml:space="preserve">Quiebres nuevos</t>
  </si>
  <si>
    <t xml:space="preserve">(0-0,5m)-Q     </t>
  </si>
  <si>
    <t xml:space="preserve">(0,5-1m)-Q     </t>
  </si>
  <si>
    <t xml:space="preserve">(1-1,5m)-Q     </t>
  </si>
  <si>
    <t xml:space="preserve">Totales-Q      </t>
  </si>
  <si>
    <t xml:space="preserve">Tabla resumen</t>
  </si>
  <si>
    <t xml:space="preserve">Frecuencia de quiebres recientes</t>
  </si>
  <si>
    <t xml:space="preserve">Frecuencia de toques totales</t>
  </si>
  <si>
    <t xml:space="preserve">D (0 - 0,5 m)</t>
  </si>
  <si>
    <t xml:space="preserve">D (0,5 - 1 m)</t>
  </si>
  <si>
    <t xml:space="preserve">D (1 - 1,5 m)</t>
  </si>
  <si>
    <t xml:space="preserve">n</t>
  </si>
  <si>
    <r>
      <rPr>
        <sz val="11"/>
        <color rgb="FF000000"/>
        <rFont val="Calibri"/>
        <family val="2"/>
        <charset val="1"/>
      </rPr>
      <t xml:space="preserve">ẋ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de</t>
    </r>
  </si>
  <si>
    <t xml:space="preserve">  Variable   </t>
  </si>
  <si>
    <r>
      <rPr>
        <sz val="11"/>
        <color rgb="FF000000"/>
        <rFont val="Calibri"/>
        <family val="2"/>
        <charset val="1"/>
      </rPr>
      <t xml:space="preserve">0,10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0,32 a</t>
    </r>
  </si>
  <si>
    <r>
      <rPr>
        <sz val="11"/>
        <color rgb="FF000000"/>
        <rFont val="Calibri"/>
        <family val="2"/>
        <charset val="1"/>
      </rPr>
      <t xml:space="preserve">49,80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15,24 d</t>
    </r>
  </si>
  <si>
    <r>
      <rPr>
        <sz val="11"/>
        <color rgb="FF000000"/>
        <rFont val="Calibri"/>
        <family val="2"/>
        <charset val="1"/>
      </rPr>
      <t xml:space="preserve">33,80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13,83 e</t>
    </r>
  </si>
  <si>
    <r>
      <rPr>
        <sz val="11"/>
        <color rgb="FF000000"/>
        <rFont val="Calibri"/>
        <family val="2"/>
        <charset val="1"/>
      </rPr>
      <t xml:space="preserve">7,40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3,69 b</t>
    </r>
  </si>
  <si>
    <r>
      <rPr>
        <sz val="11"/>
        <color rgb="FF000000"/>
        <rFont val="Calibri"/>
        <family val="2"/>
        <charset val="1"/>
      </rPr>
      <t xml:space="preserve">8,30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5,72 d</t>
    </r>
  </si>
  <si>
    <t xml:space="preserve">Toques 0-0,5m</t>
  </si>
  <si>
    <r>
      <rPr>
        <sz val="11"/>
        <color rgb="FF000000"/>
        <rFont val="Calibri"/>
        <family val="2"/>
        <charset val="1"/>
      </rPr>
      <t xml:space="preserve">0,50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0,85 ab</t>
    </r>
  </si>
  <si>
    <r>
      <rPr>
        <sz val="11"/>
        <color rgb="FF000000"/>
        <rFont val="Calibri"/>
        <family val="2"/>
        <charset val="1"/>
      </rPr>
      <t xml:space="preserve">37,50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8,76 cd</t>
    </r>
  </si>
  <si>
    <r>
      <rPr>
        <sz val="11"/>
        <color rgb="FF000000"/>
        <rFont val="Calibri"/>
        <family val="2"/>
        <charset val="1"/>
      </rPr>
      <t xml:space="preserve">24,8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7,77 de</t>
    </r>
  </si>
  <si>
    <r>
      <rPr>
        <sz val="11"/>
        <color rgb="FF000000"/>
        <rFont val="Calibri"/>
        <family val="2"/>
        <charset val="1"/>
      </rPr>
      <t xml:space="preserve">6,10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5,47 b</t>
    </r>
  </si>
  <si>
    <r>
      <rPr>
        <sz val="11"/>
        <color rgb="FF000000"/>
        <rFont val="Calibri"/>
        <family val="2"/>
        <charset val="1"/>
      </rPr>
      <t xml:space="preserve">5,10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3,96 cd</t>
    </r>
  </si>
  <si>
    <r>
      <rPr>
        <sz val="11"/>
        <color rgb="FF000000"/>
        <rFont val="Calibri"/>
        <family val="2"/>
        <charset val="1"/>
      </rPr>
      <t xml:space="preserve">2,90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4,79 ab</t>
    </r>
  </si>
  <si>
    <r>
      <rPr>
        <sz val="11"/>
        <color rgb="FF000000"/>
        <rFont val="Calibri"/>
        <family val="2"/>
        <charset val="1"/>
      </rPr>
      <t xml:space="preserve">21,50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5,76 b</t>
    </r>
  </si>
  <si>
    <r>
      <rPr>
        <sz val="11"/>
        <color rgb="FF000000"/>
        <rFont val="Calibri"/>
        <family val="2"/>
        <charset val="1"/>
      </rPr>
      <t xml:space="preserve">12,50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5,38 bc</t>
    </r>
  </si>
  <si>
    <t xml:space="preserve">-0,20 + 4,71 a</t>
  </si>
  <si>
    <r>
      <rPr>
        <sz val="11"/>
        <color rgb="FF000000"/>
        <rFont val="Calibri"/>
        <family val="2"/>
        <charset val="1"/>
      </rPr>
      <t xml:space="preserve">0,50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4,62 abc</t>
    </r>
  </si>
  <si>
    <r>
      <rPr>
        <sz val="11"/>
        <color rgb="FF000000"/>
        <rFont val="Calibri"/>
        <family val="2"/>
        <charset val="1"/>
      </rPr>
      <t xml:space="preserve">1,90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2,23 b</t>
    </r>
  </si>
  <si>
    <r>
      <rPr>
        <sz val="11"/>
        <color rgb="FF000000"/>
        <rFont val="Calibri"/>
        <family val="2"/>
        <charset val="1"/>
      </rPr>
      <t xml:space="preserve">6,70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4,79 a</t>
    </r>
  </si>
  <si>
    <t xml:space="preserve">-0,30 + 3,40 a</t>
  </si>
  <si>
    <r>
      <rPr>
        <sz val="11"/>
        <color rgb="FF000000"/>
        <rFont val="Calibri"/>
        <family val="2"/>
        <charset val="1"/>
      </rPr>
      <t xml:space="preserve">0,80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3,74 a</t>
    </r>
  </si>
  <si>
    <r>
      <rPr>
        <sz val="11"/>
        <color rgb="FF000000"/>
        <rFont val="Calibri"/>
        <family val="2"/>
        <charset val="1"/>
      </rPr>
      <t xml:space="preserve">0,50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3,92 ab</t>
    </r>
  </si>
  <si>
    <r>
      <rPr>
        <sz val="11"/>
        <color rgb="FF000000"/>
        <rFont val="Calibri"/>
        <family val="2"/>
        <charset val="1"/>
      </rPr>
      <t xml:space="preserve">1,80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1,99 b</t>
    </r>
  </si>
  <si>
    <r>
      <rPr>
        <sz val="11"/>
        <color rgb="FF000000"/>
        <rFont val="Calibri"/>
        <family val="2"/>
        <charset val="1"/>
      </rPr>
      <t xml:space="preserve">10,00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6,78 a</t>
    </r>
  </si>
  <si>
    <r>
      <rPr>
        <sz val="11"/>
        <color rgb="FF000000"/>
        <rFont val="Calibri"/>
        <family val="2"/>
        <charset val="1"/>
      </rPr>
      <t xml:space="preserve">4,40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3,20 ab</t>
    </r>
  </si>
  <si>
    <r>
      <rPr>
        <sz val="11"/>
        <color rgb="FF000000"/>
        <rFont val="Calibri"/>
        <family val="2"/>
        <charset val="1"/>
      </rPr>
      <t xml:space="preserve">0,70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2,95 a</t>
    </r>
  </si>
  <si>
    <t xml:space="preserve">-0,50 + 2,07 a</t>
  </si>
  <si>
    <r>
      <rPr>
        <sz val="11"/>
        <color rgb="FF000000"/>
        <rFont val="Calibri"/>
        <family val="2"/>
        <charset val="1"/>
      </rPr>
      <t xml:space="preserve">0,20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0,42 a</t>
    </r>
  </si>
  <si>
    <r>
      <rPr>
        <sz val="11"/>
        <color rgb="FF000000"/>
        <rFont val="Calibri"/>
        <family val="2"/>
        <charset val="1"/>
      </rPr>
      <t xml:space="preserve">23,50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10,05 bc</t>
    </r>
  </si>
  <si>
    <r>
      <rPr>
        <sz val="11"/>
        <color rgb="FF000000"/>
        <rFont val="Calibri"/>
        <family val="2"/>
        <charset val="1"/>
      </rPr>
      <t xml:space="preserve">16,30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8,08 cd</t>
    </r>
  </si>
  <si>
    <r>
      <rPr>
        <sz val="11"/>
        <color rgb="FF000000"/>
        <rFont val="Calibri"/>
        <family val="2"/>
        <charset val="1"/>
      </rPr>
      <t xml:space="preserve">3,10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1,52 ab</t>
    </r>
  </si>
  <si>
    <r>
      <rPr>
        <sz val="11"/>
        <color rgb="FF000000"/>
        <rFont val="Calibri"/>
        <family val="2"/>
        <charset val="1"/>
      </rPr>
      <t xml:space="preserve">3,50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3,27 bcd</t>
    </r>
  </si>
  <si>
    <t xml:space="preserve">Frecuencia de toques 0-0,5m</t>
  </si>
  <si>
    <t xml:space="preserve">Frecuencia de toques 0,5-1m</t>
  </si>
  <si>
    <t xml:space="preserve">Frecuencia de toques 1-1,5m</t>
  </si>
  <si>
    <t xml:space="preserve">Ago  </t>
  </si>
  <si>
    <t xml:space="preserve">Oct  </t>
  </si>
  <si>
    <r>
      <rPr>
        <sz val="11"/>
        <color rgb="FF000000"/>
        <rFont val="Calibri"/>
        <family val="2"/>
        <charset val="1"/>
      </rPr>
      <t xml:space="preserve">33,90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13,97 a</t>
    </r>
  </si>
  <si>
    <r>
      <rPr>
        <sz val="11"/>
        <color rgb="FF000000"/>
        <rFont val="Calibri"/>
        <family val="2"/>
        <charset val="1"/>
      </rPr>
      <t xml:space="preserve">7,50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3,54 a</t>
    </r>
  </si>
  <si>
    <r>
      <rPr>
        <sz val="11"/>
        <color rgb="FF000000"/>
        <rFont val="Calibri"/>
        <family val="2"/>
        <charset val="1"/>
      </rPr>
      <t xml:space="preserve">8,40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5,56 ab</t>
    </r>
  </si>
  <si>
    <t xml:space="preserve">Jun  </t>
  </si>
  <si>
    <r>
      <rPr>
        <sz val="11"/>
        <color rgb="FF000000"/>
        <rFont val="Calibri"/>
        <family val="2"/>
        <charset val="1"/>
      </rPr>
      <t xml:space="preserve">25,30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7,50 c</t>
    </r>
  </si>
  <si>
    <r>
      <rPr>
        <sz val="11"/>
        <color rgb="FF000000"/>
        <rFont val="Calibri"/>
        <family val="2"/>
        <charset val="1"/>
      </rPr>
      <t xml:space="preserve">6,60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5,42 c</t>
    </r>
  </si>
  <si>
    <r>
      <rPr>
        <sz val="11"/>
        <color rgb="FF000000"/>
        <rFont val="Calibri"/>
        <family val="2"/>
        <charset val="1"/>
      </rPr>
      <t xml:space="preserve">5,60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3,92 c</t>
    </r>
  </si>
  <si>
    <t xml:space="preserve">Dic  </t>
  </si>
  <si>
    <r>
      <rPr>
        <sz val="11"/>
        <color rgb="FF000000"/>
        <rFont val="Calibri"/>
        <family val="2"/>
        <charset val="1"/>
      </rPr>
      <t xml:space="preserve">15,40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4,09 a</t>
    </r>
  </si>
  <si>
    <r>
      <rPr>
        <sz val="11"/>
        <color rgb="FF000000"/>
        <rFont val="Calibri"/>
        <family val="2"/>
        <charset val="1"/>
      </rPr>
      <t xml:space="preserve">2,70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2,11 a</t>
    </r>
  </si>
  <si>
    <r>
      <rPr>
        <sz val="11"/>
        <color rgb="FF000000"/>
        <rFont val="Calibri"/>
        <family val="2"/>
        <charset val="1"/>
      </rPr>
      <t xml:space="preserve">3,40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2,12 a</t>
    </r>
  </si>
  <si>
    <t xml:space="preserve">Abr  </t>
  </si>
  <si>
    <r>
      <rPr>
        <sz val="11"/>
        <color rgb="FF000000"/>
        <rFont val="Calibri"/>
        <family val="2"/>
        <charset val="1"/>
      </rPr>
      <t xml:space="preserve">1,60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2,07 bc</t>
    </r>
  </si>
  <si>
    <r>
      <rPr>
        <sz val="11"/>
        <color rgb="FF000000"/>
        <rFont val="Calibri"/>
        <family val="2"/>
        <charset val="1"/>
      </rPr>
      <t xml:space="preserve">2,70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2,06 bc</t>
    </r>
  </si>
  <si>
    <r>
      <rPr>
        <sz val="11"/>
        <color rgb="FF000000"/>
        <rFont val="Calibri"/>
        <family val="2"/>
        <charset val="1"/>
      </rPr>
      <t xml:space="preserve">2,40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2,37 bc</t>
    </r>
  </si>
  <si>
    <t xml:space="preserve">Feb  </t>
  </si>
  <si>
    <r>
      <rPr>
        <sz val="11"/>
        <color rgb="FF000000"/>
        <rFont val="Calibri"/>
        <family val="2"/>
        <charset val="1"/>
      </rPr>
      <t xml:space="preserve">6,20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4,26 b</t>
    </r>
  </si>
  <si>
    <r>
      <rPr>
        <sz val="11"/>
        <color rgb="FF000000"/>
        <rFont val="Calibri"/>
        <family val="2"/>
        <charset val="1"/>
      </rPr>
      <t xml:space="preserve">2,50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2,32 ab</t>
    </r>
  </si>
  <si>
    <r>
      <rPr>
        <sz val="11"/>
        <color rgb="FF000000"/>
        <rFont val="Calibri"/>
        <family val="2"/>
        <charset val="1"/>
      </rPr>
      <t xml:space="preserve">1,30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1,70 abc</t>
    </r>
  </si>
  <si>
    <r>
      <rPr>
        <sz val="11"/>
        <color rgb="FF000000"/>
        <rFont val="Calibri"/>
        <family val="2"/>
        <charset val="1"/>
      </rPr>
      <t xml:space="preserve">16,50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8,07 b</t>
    </r>
  </si>
  <si>
    <r>
      <rPr>
        <sz val="11"/>
        <color rgb="FF000000"/>
        <rFont val="Calibri"/>
        <family val="2"/>
        <charset val="1"/>
      </rPr>
      <t xml:space="preserve">3,30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1,49 ab</t>
    </r>
  </si>
  <si>
    <r>
      <rPr>
        <sz val="11"/>
        <color rgb="FF000000"/>
        <rFont val="Calibri"/>
        <family val="2"/>
        <charset val="1"/>
      </rPr>
      <t xml:space="preserve">3,70 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 3,20 abc</t>
    </r>
  </si>
  <si>
    <t xml:space="preserve">Quiebres recientes</t>
  </si>
  <si>
    <t xml:space="preserve">0 - 0,5 m</t>
  </si>
  <si>
    <t xml:space="preserve"> 0,5 - 1 m</t>
  </si>
  <si>
    <t xml:space="preserve">1 - 1,5 m</t>
  </si>
  <si>
    <t xml:space="preserve">Cobertura 0 - 1,5 m</t>
  </si>
  <si>
    <t xml:space="preserve">Toques 0,5-1m</t>
  </si>
  <si>
    <t xml:space="preserve">(0-0,5m)-Q</t>
  </si>
  <si>
    <t xml:space="preserve">(0,5-1m)-Q</t>
  </si>
  <si>
    <t xml:space="preserve">(1-1,5m)-Q</t>
  </si>
  <si>
    <t xml:space="preserve">Totales-Q</t>
  </si>
  <si>
    <t xml:space="preserve">Toques 1-1,5m</t>
  </si>
  <si>
    <t xml:space="preserve">   Variable   </t>
  </si>
  <si>
    <t xml:space="preserve">   Variable    </t>
  </si>
  <si>
    <t xml:space="preserve"> Variable </t>
  </si>
  <si>
    <t xml:space="preserve">E </t>
  </si>
  <si>
    <t xml:space="preserve">6,10 + 5,47 b</t>
  </si>
  <si>
    <t xml:space="preserve">0,80 + 3,74 a</t>
  </si>
  <si>
    <t xml:space="preserve">3,10 + 1,52 ab</t>
  </si>
  <si>
    <t xml:space="preserve">7,40 + 3,69 b</t>
  </si>
  <si>
    <t xml:space="preserve">0,70 + 2,95 a</t>
  </si>
  <si>
    <t xml:space="preserve">Variable </t>
  </si>
  <si>
    <t xml:space="preserve">Cobertura - Quiebres</t>
  </si>
  <si>
    <t xml:space="preserve">Diferencias</t>
  </si>
  <si>
    <t xml:space="preserve">0-0,5m-Quiebres</t>
  </si>
  <si>
    <t xml:space="preserve">Análisis de la varianza FACTORIAL</t>
  </si>
  <si>
    <t xml:space="preserve"> Variable  </t>
  </si>
  <si>
    <t xml:space="preserve">N  </t>
  </si>
  <si>
    <t xml:space="preserve"> CV  </t>
  </si>
  <si>
    <t xml:space="preserve">     F.V.      </t>
  </si>
  <si>
    <t xml:space="preserve">   SC   </t>
  </si>
  <si>
    <t xml:space="preserve">gl </t>
  </si>
  <si>
    <t xml:space="preserve">  CM   </t>
  </si>
  <si>
    <t xml:space="preserve"> F   </t>
  </si>
  <si>
    <t xml:space="preserve">Modelo.        </t>
  </si>
  <si>
    <t xml:space="preserve">Meses          </t>
  </si>
  <si>
    <t xml:space="preserve">0,5-1m-Quiebres</t>
  </si>
  <si>
    <t xml:space="preserve">Meses*Cobertura</t>
  </si>
  <si>
    <t xml:space="preserve">Error          </t>
  </si>
  <si>
    <t xml:space="preserve">Total          </t>
  </si>
  <si>
    <t xml:space="preserve">Test:Tukey Alfa=0,05 DMS=4,10664</t>
  </si>
  <si>
    <t xml:space="preserve">Error: 31,0296 gl: 162</t>
  </si>
  <si>
    <t xml:space="preserve">1-1,5m-Quiebres</t>
  </si>
  <si>
    <t xml:space="preserve">Test:Tukey Alfa=0,05 DMS=2,38714</t>
  </si>
  <si>
    <t xml:space="preserve">Toques totales-Quiebres</t>
  </si>
  <si>
    <t xml:space="preserve">Test:Tukey Alfa=0,05 DMS=8,71399</t>
  </si>
  <si>
    <t xml:space="preserve">Alturas de la vegetación</t>
  </si>
  <si>
    <t xml:space="preserve">0,5 - 1 m</t>
  </si>
  <si>
    <t xml:space="preserve">15,25 b</t>
  </si>
  <si>
    <t xml:space="preserve">2,98 a</t>
  </si>
  <si>
    <t xml:space="preserve">2,90 a</t>
  </si>
  <si>
    <t xml:space="preserve">16,5 d</t>
  </si>
  <si>
    <t xml:space="preserve">33,80 f</t>
  </si>
  <si>
    <t xml:space="preserve">7,40 abc</t>
  </si>
  <si>
    <t xml:space="preserve">8,30 bcd</t>
  </si>
  <si>
    <t xml:space="preserve">12 c</t>
  </si>
  <si>
    <t xml:space="preserve">24,80 e</t>
  </si>
  <si>
    <t xml:space="preserve">6,10 abc</t>
  </si>
  <si>
    <t xml:space="preserve">5,10 abc</t>
  </si>
  <si>
    <t xml:space="preserve">4,27 ab</t>
  </si>
  <si>
    <t xml:space="preserve">12,50 cd</t>
  </si>
  <si>
    <t xml:space="preserve">-0,20 ab</t>
  </si>
  <si>
    <t xml:space="preserve">0,50 ab</t>
  </si>
  <si>
    <t xml:space="preserve">0,33 a</t>
  </si>
  <si>
    <t xml:space="preserve">-0,30 ab</t>
  </si>
  <si>
    <t xml:space="preserve">0,80 ab</t>
  </si>
  <si>
    <t xml:space="preserve">1,53 a</t>
  </si>
  <si>
    <t xml:space="preserve">4,40 abc</t>
  </si>
  <si>
    <t xml:space="preserve">0,70 ab</t>
  </si>
  <si>
    <t xml:space="preserve">-0,50 a</t>
  </si>
  <si>
    <t xml:space="preserve">7,63 b</t>
  </si>
  <si>
    <t xml:space="preserve">16,30 de</t>
  </si>
  <si>
    <t xml:space="preserve">3,10 ab</t>
  </si>
  <si>
    <t xml:space="preserve">3,50 ab</t>
  </si>
  <si>
    <t xml:space="preserve">F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</si>
</sst>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0"/>
    <numFmt numFmtId="167" formatCode="0.000"/>
    <numFmt numFmtId="168" formatCode="0"/>
    <numFmt numFmtId="169" formatCode="0%"/>
    <numFmt numFmtId="170" formatCode="@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 val="true"/>
      <sz val="11"/>
      <color rgb="FFFF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b val="true"/>
      <sz val="16"/>
      <name val="Times New Roman"/>
      <family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/>
      <bottom style="thin">
        <color rgb="FF95B3D7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5B3D7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A6A6A6"/>
      <rgbColor rgb="FFC4BD97"/>
      <rgbColor rgb="FF4A7EBB"/>
      <rgbColor rgb="FF46AAC4"/>
      <rgbColor rgb="FF98B855"/>
      <rgbColor rgb="FFFFCC00"/>
      <rgbColor rgb="FFF59240"/>
      <rgbColor rgb="FFFF6600"/>
      <rgbColor rgb="FF7D5FA0"/>
      <rgbColor rgb="FF878787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2.xml"/>
</Relationships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57013966135212"/>
          <c:y val="0.0227680574248542"/>
          <c:w val="0.902360647633173"/>
          <c:h val="0.778375953342306"/>
        </c:manualLayout>
      </c:layout>
      <c:lineChart>
        <c:grouping val="standard"/>
        <c:varyColors val="0"/>
        <c:ser>
          <c:idx val="0"/>
          <c:order val="0"/>
          <c:tx>
            <c:strRef>
              <c:f>'Tablas dinámicas probando'!$X$1</c:f>
              <c:strCache>
                <c:ptCount val="1"/>
                <c:pt idx="0">
                  <c:v>Cober. total</c:v>
                </c:pt>
              </c:strCache>
            </c:strRef>
          </c:tx>
          <c:spPr>
            <a:solidFill>
              <a:srgbClr val="bfbfbf"/>
            </a:solidFill>
            <a:ln w="28440">
              <a:solidFill>
                <a:srgbClr val="bfbfbf"/>
              </a:solidFill>
              <a:round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probando'!$AA$2:$AA$7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probando'!$X$2:$X$7</c:f>
              <c:numCache>
                <c:formatCode>General</c:formatCode>
                <c:ptCount val="6"/>
                <c:pt idx="0">
                  <c:v>3.92150048571617</c:v>
                </c:pt>
                <c:pt idx="1">
                  <c:v>3.62607890194097</c:v>
                </c:pt>
                <c:pt idx="2">
                  <c:v>2.73220611916264</c:v>
                </c:pt>
                <c:pt idx="3">
                  <c:v>1.79781746031746</c:v>
                </c:pt>
                <c:pt idx="4">
                  <c:v>2.02986633249791</c:v>
                </c:pt>
                <c:pt idx="5">
                  <c:v>2.46798103212577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'Tablas dinámicas probando'!$Y$1</c:f>
              <c:strCache>
                <c:ptCount val="1"/>
                <c:pt idx="0">
                  <c:v>Quiebres</c:v>
                </c:pt>
              </c:strCache>
            </c:strRef>
          </c:tx>
          <c:spPr>
            <a:solidFill>
              <a:srgbClr val="808080"/>
            </a:solidFill>
            <a:ln w="28440">
              <a:solidFill>
                <a:srgbClr val="808080"/>
              </a:solidFill>
              <a:round/>
            </a:ln>
          </c:spPr>
          <c:marker>
            <c:symbol val="circle"/>
            <c:size val="7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probando'!$AA$2:$AA$7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probando'!$Y$2:$Y$7</c:f>
              <c:numCache>
                <c:formatCode>General</c:formatCode>
                <c:ptCount val="6"/>
                <c:pt idx="0">
                  <c:v>0.1</c:v>
                </c:pt>
                <c:pt idx="1">
                  <c:v>0.5</c:v>
                </c:pt>
                <c:pt idx="2">
                  <c:v>2.9</c:v>
                </c:pt>
                <c:pt idx="3">
                  <c:v>1.9</c:v>
                </c:pt>
                <c:pt idx="4">
                  <c:v>1.8</c:v>
                </c:pt>
                <c:pt idx="5">
                  <c:v>0.2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'Tablas dinámicas probando'!$AB$1</c:f>
              <c:strCache>
                <c:ptCount val="1"/>
                <c:pt idx="0">
                  <c:v>Cober.  0 - 0,5 m</c:v>
                </c:pt>
              </c:strCache>
            </c:strRef>
          </c:tx>
          <c:spPr>
            <a:solidFill>
              <a:srgbClr val="bfbfbf"/>
            </a:solidFill>
            <a:ln w="19080">
              <a:solidFill>
                <a:srgbClr val="bfbfbf"/>
              </a:solidFill>
              <a:prstDash val="lgDash"/>
              <a:round/>
            </a:ln>
          </c:spPr>
          <c:marker>
            <c:symbol val="triangle"/>
            <c:size val="5"/>
            <c:spPr>
              <a:solidFill>
                <a:srgbClr val="bfbf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probando'!$AA$2:$AA$7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probando'!$AB$2:$AB$7</c:f>
              <c:numCache>
                <c:formatCode>General</c:formatCode>
                <c:ptCount val="6"/>
                <c:pt idx="0">
                  <c:v>10.7334656084656</c:v>
                </c:pt>
                <c:pt idx="1">
                  <c:v>7.87002652519894</c:v>
                </c:pt>
                <c:pt idx="2">
                  <c:v>6.37101449275362</c:v>
                </c:pt>
                <c:pt idx="3">
                  <c:v>3.06666666666667</c:v>
                </c:pt>
                <c:pt idx="4">
                  <c:v>3.48872180451128</c:v>
                </c:pt>
                <c:pt idx="5">
                  <c:v>4.88486842105263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'Tablas dinámicas probando'!$AC$1</c:f>
              <c:strCache>
                <c:ptCount val="1"/>
                <c:pt idx="0">
                  <c:v>Cober 0,5 - 1 m</c:v>
                </c:pt>
              </c:strCache>
            </c:strRef>
          </c:tx>
          <c:spPr>
            <a:solidFill>
              <a:srgbClr val="bfbfbf"/>
            </a:solidFill>
            <a:ln w="19080">
              <a:solidFill>
                <a:srgbClr val="bfbfbf"/>
              </a:solidFill>
              <a:prstDash val="lgDash"/>
              <a:round/>
            </a:ln>
          </c:spPr>
          <c:marker>
            <c:symbol val="square"/>
            <c:size val="5"/>
            <c:spPr>
              <a:solidFill>
                <a:srgbClr val="bfbf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probando'!$AA$2:$AA$7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probando'!$AC$2:$AC$7</c:f>
              <c:numCache>
                <c:formatCode>General</c:formatCode>
                <c:ptCount val="6"/>
                <c:pt idx="0">
                  <c:v>3.26470588235294</c:v>
                </c:pt>
                <c:pt idx="1">
                  <c:v>4.38333333333333</c:v>
                </c:pt>
                <c:pt idx="2">
                  <c:v>3.37777777777778</c:v>
                </c:pt>
                <c:pt idx="3">
                  <c:v>2.8125</c:v>
                </c:pt>
                <c:pt idx="4">
                  <c:v>3.36666666666667</c:v>
                </c:pt>
                <c:pt idx="5">
                  <c:v>2.69318181818182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'Tablas dinámicas probando'!$AD$1</c:f>
              <c:strCache>
                <c:ptCount val="1"/>
                <c:pt idx="0">
                  <c:v>Cober 1 - 1,5 m</c:v>
                </c:pt>
              </c:strCache>
            </c:strRef>
          </c:tx>
          <c:spPr>
            <a:solidFill>
              <a:srgbClr val="bfbfbf"/>
            </a:solidFill>
            <a:ln w="19080">
              <a:solidFill>
                <a:srgbClr val="bfbfbf"/>
              </a:solidFill>
              <a:prstDash val="lgDash"/>
              <a:round/>
            </a:ln>
          </c:spPr>
          <c:marker>
            <c:symbol val="square"/>
            <c:size val="5"/>
            <c:spPr>
              <a:solidFill>
                <a:srgbClr val="bfbf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probando'!$AA$2:$AA$7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probando'!$AD$2:$AD$7</c:f>
              <c:numCache>
                <c:formatCode>General</c:formatCode>
                <c:ptCount val="6"/>
                <c:pt idx="0">
                  <c:v>4.75151515151515</c:v>
                </c:pt>
                <c:pt idx="1">
                  <c:v>4.77142857142857</c:v>
                </c:pt>
                <c:pt idx="2">
                  <c:v>3.4</c:v>
                </c:pt>
                <c:pt idx="3">
                  <c:v>2.35714285714286</c:v>
                </c:pt>
                <c:pt idx="4">
                  <c:v>2.46666666666667</c:v>
                </c:pt>
                <c:pt idx="5">
                  <c:v>3.60714285714286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098586"/>
        <c:axId val="8028026"/>
      </c:lineChart>
      <c:catAx>
        <c:axId val="6309858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028026"/>
        <c:crosses val="autoZero"/>
        <c:auto val="1"/>
        <c:lblAlgn val="ctr"/>
        <c:lblOffset val="100"/>
        <c:noMultiLvlLbl val="0"/>
      </c:catAx>
      <c:valAx>
        <c:axId val="802802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098586"/>
        <c:crosses val="autoZero"/>
        <c:crossBetween val="between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b"/>
      <c:layout>
        <c:manualLayout>
          <c:xMode val="edge"/>
          <c:yMode val="edge"/>
          <c:x val="0"/>
          <c:y val="0.870914117931105"/>
          <c:w val="0.996469962785752"/>
          <c:h val="0.10534700966533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3675006072383"/>
          <c:y val="0.0745309014565018"/>
          <c:w val="0.691927779127196"/>
          <c:h val="0.8325679044744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'Tablas dinámicas probando'!$P$11</c:f>
              <c:strCache>
                <c:ptCount val="1"/>
                <c:pt idx="0">
                  <c:v>0 - 0,25</c:v>
                </c:pt>
              </c:strCache>
            </c:strRef>
          </c:tx>
          <c:spPr>
            <a:solidFill>
              <a:srgbClr val="f2f2f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probando'!$P$12:$P$17</c:f>
              <c:numCache>
                <c:formatCode>General</c:formatCode>
                <c:ptCount val="6"/>
                <c:pt idx="0">
                  <c:v>9.03703703703704</c:v>
                </c:pt>
                <c:pt idx="1">
                  <c:v>6.79310344827586</c:v>
                </c:pt>
                <c:pt idx="2">
                  <c:v>5.30434782608696</c:v>
                </c:pt>
                <c:pt idx="3">
                  <c:v>2.4</c:v>
                </c:pt>
                <c:pt idx="4">
                  <c:v>2.63157894736842</c:v>
                </c:pt>
                <c:pt idx="5">
                  <c:v>3.4375</c:v>
                </c:pt>
              </c:numCache>
            </c:numRef>
          </c:val>
        </c:ser>
        <c:ser>
          <c:idx val="1"/>
          <c:order val="1"/>
          <c:tx>
            <c:strRef>
              <c:f>'Tablas dinámicas probando'!$Q$11</c:f>
              <c:strCache>
                <c:ptCount val="1"/>
                <c:pt idx="0">
                  <c:v>0,25 - 0,50</c:v>
                </c:pt>
              </c:strCache>
            </c:strRef>
          </c:tx>
          <c:spPr>
            <a:solidFill>
              <a:srgbClr val="d9d9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probando'!$Q$12:$Q$17</c:f>
              <c:numCache>
                <c:formatCode>General</c:formatCode>
                <c:ptCount val="6"/>
                <c:pt idx="0">
                  <c:v>3.39285714285714</c:v>
                </c:pt>
                <c:pt idx="1">
                  <c:v>2.15384615384615</c:v>
                </c:pt>
                <c:pt idx="2">
                  <c:v>2.13333333333333</c:v>
                </c:pt>
                <c:pt idx="3">
                  <c:v>1.33333333333333</c:v>
                </c:pt>
                <c:pt idx="4">
                  <c:v>1.71428571428571</c:v>
                </c:pt>
                <c:pt idx="5">
                  <c:v>2.89473684210526</c:v>
                </c:pt>
              </c:numCache>
            </c:numRef>
          </c:val>
        </c:ser>
        <c:ser>
          <c:idx val="2"/>
          <c:order val="2"/>
          <c:tx>
            <c:strRef>
              <c:f>'Tablas dinámicas probando'!$R$11</c:f>
              <c:strCache>
                <c:ptCount val="1"/>
                <c:pt idx="0">
                  <c:v>0,50 - 0,75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probando'!$R$12:$R$17</c:f>
              <c:numCache>
                <c:formatCode>General</c:formatCode>
                <c:ptCount val="6"/>
                <c:pt idx="0">
                  <c:v>2.52941176470588</c:v>
                </c:pt>
                <c:pt idx="1">
                  <c:v>3.16666666666667</c:v>
                </c:pt>
                <c:pt idx="2">
                  <c:v>1.55555555555556</c:v>
                </c:pt>
                <c:pt idx="3">
                  <c:v>1.625</c:v>
                </c:pt>
                <c:pt idx="4">
                  <c:v>2.4</c:v>
                </c:pt>
                <c:pt idx="5">
                  <c:v>1.63636363636364</c:v>
                </c:pt>
              </c:numCache>
            </c:numRef>
          </c:val>
        </c:ser>
        <c:ser>
          <c:idx val="3"/>
          <c:order val="3"/>
          <c:tx>
            <c:strRef>
              <c:f>'Tablas dinámicas probando'!$S$11</c:f>
              <c:strCache>
                <c:ptCount val="1"/>
                <c:pt idx="0">
                  <c:v>0,75 - 1,00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probando'!$S$12:$S$17</c:f>
              <c:numCache>
                <c:formatCode>General</c:formatCode>
                <c:ptCount val="6"/>
                <c:pt idx="0">
                  <c:v>2</c:v>
                </c:pt>
                <c:pt idx="1">
                  <c:v>2.8</c:v>
                </c:pt>
                <c:pt idx="2">
                  <c:v>2.6</c:v>
                </c:pt>
                <c:pt idx="3">
                  <c:v>2</c:v>
                </c:pt>
                <c:pt idx="4">
                  <c:v>2.16666666666667</c:v>
                </c:pt>
                <c:pt idx="5">
                  <c:v>1.875</c:v>
                </c:pt>
              </c:numCache>
            </c:numRef>
          </c:val>
        </c:ser>
        <c:ser>
          <c:idx val="4"/>
          <c:order val="4"/>
          <c:tx>
            <c:strRef>
              <c:f>'Tablas dinámicas probando'!$T$11</c:f>
              <c:strCache>
                <c:ptCount val="1"/>
                <c:pt idx="0">
                  <c:v>1,00 - 1,25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probando'!$T$12:$T$17</c:f>
              <c:numCache>
                <c:formatCode>General</c:formatCode>
                <c:ptCount val="6"/>
                <c:pt idx="0">
                  <c:v>2.93333333333333</c:v>
                </c:pt>
                <c:pt idx="1">
                  <c:v>2.7</c:v>
                </c:pt>
                <c:pt idx="2">
                  <c:v>2</c:v>
                </c:pt>
                <c:pt idx="3">
                  <c:v>1.28571428571429</c:v>
                </c:pt>
                <c:pt idx="4">
                  <c:v>1.66666666666667</c:v>
                </c:pt>
                <c:pt idx="5">
                  <c:v>2.25</c:v>
                </c:pt>
              </c:numCache>
            </c:numRef>
          </c:val>
        </c:ser>
        <c:ser>
          <c:idx val="5"/>
          <c:order val="5"/>
          <c:tx>
            <c:strRef>
              <c:f>'Tablas dinámicas probando'!$U$11</c:f>
              <c:strCache>
                <c:ptCount val="1"/>
                <c:pt idx="0">
                  <c:v>1,25 - 1,50</c:v>
                </c:pt>
              </c:strCache>
            </c:strRef>
          </c:tx>
          <c:spPr>
            <a:solidFill>
              <a:srgbClr val="0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probando'!$U$12:$U$17</c:f>
              <c:numCache>
                <c:formatCode>General</c:formatCode>
                <c:ptCount val="6"/>
                <c:pt idx="0">
                  <c:v>3.63636363636364</c:v>
                </c:pt>
                <c:pt idx="1">
                  <c:v>4.14285714285714</c:v>
                </c:pt>
                <c:pt idx="2">
                  <c:v>2.8</c:v>
                </c:pt>
                <c:pt idx="3">
                  <c:v>2.14285714285714</c:v>
                </c:pt>
                <c:pt idx="4">
                  <c:v>1.6</c:v>
                </c:pt>
                <c:pt idx="5">
                  <c:v>2.71428571428571</c:v>
                </c:pt>
              </c:numCache>
            </c:numRef>
          </c:val>
        </c:ser>
        <c:gapWidth val="150"/>
        <c:overlap val="100"/>
        <c:axId val="53086459"/>
        <c:axId val="5896937"/>
      </c:barChart>
      <c:catAx>
        <c:axId val="530864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896937"/>
        <c:crosses val="autoZero"/>
        <c:auto val="1"/>
        <c:lblAlgn val="ctr"/>
        <c:lblOffset val="100"/>
        <c:noMultiLvlLbl val="0"/>
      </c:catAx>
      <c:valAx>
        <c:axId val="5896937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086459"/>
        <c:crosses val="autoZero"/>
        <c:crossBetween val="between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'Tablas dinámicas probando'!$H$71:$H$135</c:f>
              <c:numCache>
                <c:formatCode>General</c:formatCode>
                <c:ptCount val="65"/>
                <c:pt idx="0">
                  <c:v>346</c:v>
                </c:pt>
                <c:pt idx="1">
                  <c:v>201</c:v>
                </c:pt>
                <c:pt idx="2">
                  <c:v>52</c:v>
                </c:pt>
                <c:pt idx="3">
                  <c:v>92</c:v>
                </c:pt>
                <c:pt idx="4">
                  <c:v>216</c:v>
                </c:pt>
                <c:pt idx="5">
                  <c:v>1365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xVal>
          <c:yVal>
            <c:numRef>
              <c:f>'Tablas dinámicas probando'!$I$71:$I$135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2</c:v>
                </c:pt>
                <c:pt idx="28">
                  <c:v>9</c:v>
                </c:pt>
                <c:pt idx="29">
                  <c:v>14</c:v>
                </c:pt>
                <c:pt idx="30">
                  <c:v>1</c:v>
                </c:pt>
                <c:pt idx="31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7</c:v>
                </c:pt>
                <c:pt idx="36">
                  <c:v>0</c:v>
                </c:pt>
                <c:pt idx="37">
                  <c:v>0</c:v>
                </c:pt>
                <c:pt idx="38">
                  <c:v>4</c:v>
                </c:pt>
                <c:pt idx="39">
                  <c:v>2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4">
                  <c:v>7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yVal>
          <c:smooth val="0"/>
        </c:ser>
        <c:axId val="51642956"/>
        <c:axId val="81684178"/>
      </c:scatterChart>
      <c:valAx>
        <c:axId val="516429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84178"/>
        <c:crosses val="autoZero"/>
        <c:crossBetween val="midCat"/>
      </c:valAx>
      <c:valAx>
        <c:axId val="81684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4295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427819609748"/>
          <c:y val="0.0652230971128609"/>
          <c:w val="0.691927779127196"/>
          <c:h val="0.8325459317585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'Tablas dinámicas probando'!$P$11</c:f>
              <c:strCache>
                <c:ptCount val="1"/>
                <c:pt idx="0">
                  <c:v>0 - 0,25</c:v>
                </c:pt>
              </c:strCache>
            </c:strRef>
          </c:tx>
          <c:spPr>
            <a:solidFill>
              <a:srgbClr val="f2f2f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probando'!$P$12:$P$17</c:f>
              <c:numCache>
                <c:formatCode>General</c:formatCode>
                <c:ptCount val="6"/>
                <c:pt idx="0">
                  <c:v>9.03703703703704</c:v>
                </c:pt>
                <c:pt idx="1">
                  <c:v>6.79310344827586</c:v>
                </c:pt>
                <c:pt idx="2">
                  <c:v>5.30434782608696</c:v>
                </c:pt>
                <c:pt idx="3">
                  <c:v>2.4</c:v>
                </c:pt>
                <c:pt idx="4">
                  <c:v>2.63157894736842</c:v>
                </c:pt>
                <c:pt idx="5">
                  <c:v>3.4375</c:v>
                </c:pt>
              </c:numCache>
            </c:numRef>
          </c:val>
        </c:ser>
        <c:ser>
          <c:idx val="1"/>
          <c:order val="1"/>
          <c:tx>
            <c:strRef>
              <c:f>'Tablas dinámicas probando'!$Q$11</c:f>
              <c:strCache>
                <c:ptCount val="1"/>
                <c:pt idx="0">
                  <c:v>0,25 - 0,50</c:v>
                </c:pt>
              </c:strCache>
            </c:strRef>
          </c:tx>
          <c:spPr>
            <a:solidFill>
              <a:srgbClr val="d9d9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probando'!$Q$12:$Q$17</c:f>
              <c:numCache>
                <c:formatCode>General</c:formatCode>
                <c:ptCount val="6"/>
                <c:pt idx="0">
                  <c:v>3.39285714285714</c:v>
                </c:pt>
                <c:pt idx="1">
                  <c:v>2.15384615384615</c:v>
                </c:pt>
                <c:pt idx="2">
                  <c:v>2.13333333333333</c:v>
                </c:pt>
                <c:pt idx="3">
                  <c:v>1.33333333333333</c:v>
                </c:pt>
                <c:pt idx="4">
                  <c:v>1.71428571428571</c:v>
                </c:pt>
                <c:pt idx="5">
                  <c:v>2.89473684210526</c:v>
                </c:pt>
              </c:numCache>
            </c:numRef>
          </c:val>
        </c:ser>
        <c:ser>
          <c:idx val="2"/>
          <c:order val="2"/>
          <c:tx>
            <c:strRef>
              <c:f>'Tablas dinámicas probando'!$R$11</c:f>
              <c:strCache>
                <c:ptCount val="1"/>
                <c:pt idx="0">
                  <c:v>0,50 - 0,75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probando'!$R$12:$R$17</c:f>
              <c:numCache>
                <c:formatCode>General</c:formatCode>
                <c:ptCount val="6"/>
                <c:pt idx="0">
                  <c:v>2.52941176470588</c:v>
                </c:pt>
                <c:pt idx="1">
                  <c:v>3.16666666666667</c:v>
                </c:pt>
                <c:pt idx="2">
                  <c:v>1.55555555555556</c:v>
                </c:pt>
                <c:pt idx="3">
                  <c:v>1.625</c:v>
                </c:pt>
                <c:pt idx="4">
                  <c:v>2.4</c:v>
                </c:pt>
                <c:pt idx="5">
                  <c:v>1.63636363636364</c:v>
                </c:pt>
              </c:numCache>
            </c:numRef>
          </c:val>
        </c:ser>
        <c:ser>
          <c:idx val="3"/>
          <c:order val="3"/>
          <c:tx>
            <c:strRef>
              <c:f>'Tablas dinámicas probando'!$S$11</c:f>
              <c:strCache>
                <c:ptCount val="1"/>
                <c:pt idx="0">
                  <c:v>0,75 - 1,00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probando'!$S$12:$S$17</c:f>
              <c:numCache>
                <c:formatCode>General</c:formatCode>
                <c:ptCount val="6"/>
                <c:pt idx="0">
                  <c:v>2</c:v>
                </c:pt>
                <c:pt idx="1">
                  <c:v>2.8</c:v>
                </c:pt>
                <c:pt idx="2">
                  <c:v>2.6</c:v>
                </c:pt>
                <c:pt idx="3">
                  <c:v>2</c:v>
                </c:pt>
                <c:pt idx="4">
                  <c:v>2.16666666666667</c:v>
                </c:pt>
                <c:pt idx="5">
                  <c:v>1.875</c:v>
                </c:pt>
              </c:numCache>
            </c:numRef>
          </c:val>
        </c:ser>
        <c:ser>
          <c:idx val="4"/>
          <c:order val="4"/>
          <c:tx>
            <c:strRef>
              <c:f>'Tablas dinámicas probando'!$T$11</c:f>
              <c:strCache>
                <c:ptCount val="1"/>
                <c:pt idx="0">
                  <c:v>1,00 - 1,25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probando'!$T$12:$T$17</c:f>
              <c:numCache>
                <c:formatCode>General</c:formatCode>
                <c:ptCount val="6"/>
                <c:pt idx="0">
                  <c:v>2.93333333333333</c:v>
                </c:pt>
                <c:pt idx="1">
                  <c:v>2.7</c:v>
                </c:pt>
                <c:pt idx="2">
                  <c:v>2</c:v>
                </c:pt>
                <c:pt idx="3">
                  <c:v>1.28571428571429</c:v>
                </c:pt>
                <c:pt idx="4">
                  <c:v>1.66666666666667</c:v>
                </c:pt>
                <c:pt idx="5">
                  <c:v>2.25</c:v>
                </c:pt>
              </c:numCache>
            </c:numRef>
          </c:val>
        </c:ser>
        <c:ser>
          <c:idx val="5"/>
          <c:order val="5"/>
          <c:tx>
            <c:strRef>
              <c:f>'Tablas dinámicas probando'!$U$11</c:f>
              <c:strCache>
                <c:ptCount val="1"/>
                <c:pt idx="0">
                  <c:v>1,25 - 1,50</c:v>
                </c:pt>
              </c:strCache>
            </c:strRef>
          </c:tx>
          <c:spPr>
            <a:solidFill>
              <a:srgbClr val="0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probando'!$U$12:$U$17</c:f>
              <c:numCache>
                <c:formatCode>General</c:formatCode>
                <c:ptCount val="6"/>
                <c:pt idx="0">
                  <c:v>3.63636363636364</c:v>
                </c:pt>
                <c:pt idx="1">
                  <c:v>4.14285714285714</c:v>
                </c:pt>
                <c:pt idx="2">
                  <c:v>2.8</c:v>
                </c:pt>
                <c:pt idx="3">
                  <c:v>2.14285714285714</c:v>
                </c:pt>
                <c:pt idx="4">
                  <c:v>1.6</c:v>
                </c:pt>
                <c:pt idx="5">
                  <c:v>2.71428571428571</c:v>
                </c:pt>
              </c:numCache>
            </c:numRef>
          </c:val>
        </c:ser>
        <c:gapWidth val="150"/>
        <c:overlap val="100"/>
        <c:axId val="27330085"/>
        <c:axId val="25699455"/>
      </c:barChart>
      <c:catAx>
        <c:axId val="273300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5699455"/>
        <c:crosses val="autoZero"/>
        <c:auto val="1"/>
        <c:lblAlgn val="ctr"/>
        <c:lblOffset val="100"/>
        <c:noMultiLvlLbl val="0"/>
      </c:catAx>
      <c:valAx>
        <c:axId val="25699455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7330085"/>
        <c:crosses val="autoZero"/>
        <c:crossBetween val="between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3650465356774"/>
          <c:y val="0.0745593139590281"/>
          <c:w val="0.691933815925543"/>
          <c:h val="0.832539304430681"/>
        </c:manualLayout>
      </c:layout>
      <c:lineChart>
        <c:grouping val="standard"/>
        <c:varyColors val="0"/>
        <c:ser>
          <c:idx val="0"/>
          <c:order val="0"/>
          <c:tx>
            <c:strRef>
              <c:f>'Tablas dinámicas probando'!$P$11</c:f>
              <c:strCache>
                <c:ptCount val="1"/>
                <c:pt idx="0">
                  <c:v>0 - 0,25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probando'!$P$12:$P$17</c:f>
              <c:numCache>
                <c:formatCode>General</c:formatCode>
                <c:ptCount val="6"/>
                <c:pt idx="0">
                  <c:v>9.03703703703704</c:v>
                </c:pt>
                <c:pt idx="1">
                  <c:v>6.79310344827586</c:v>
                </c:pt>
                <c:pt idx="2">
                  <c:v>5.30434782608696</c:v>
                </c:pt>
                <c:pt idx="3">
                  <c:v>2.4</c:v>
                </c:pt>
                <c:pt idx="4">
                  <c:v>2.63157894736842</c:v>
                </c:pt>
                <c:pt idx="5">
                  <c:v>3.4375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'Tablas dinámicas probando'!$Q$11</c:f>
              <c:strCache>
                <c:ptCount val="1"/>
                <c:pt idx="0">
                  <c:v>0,25 - 0,50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probando'!$Q$12:$Q$17</c:f>
              <c:numCache>
                <c:formatCode>General</c:formatCode>
                <c:ptCount val="6"/>
                <c:pt idx="0">
                  <c:v>3.39285714285714</c:v>
                </c:pt>
                <c:pt idx="1">
                  <c:v>2.15384615384615</c:v>
                </c:pt>
                <c:pt idx="2">
                  <c:v>2.13333333333333</c:v>
                </c:pt>
                <c:pt idx="3">
                  <c:v>1.33333333333333</c:v>
                </c:pt>
                <c:pt idx="4">
                  <c:v>1.71428571428571</c:v>
                </c:pt>
                <c:pt idx="5">
                  <c:v>2.89473684210526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'Tablas dinámicas probando'!$R$11</c:f>
              <c:strCache>
                <c:ptCount val="1"/>
                <c:pt idx="0">
                  <c:v>0,50 - 0,75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probando'!$R$12:$R$17</c:f>
              <c:numCache>
                <c:formatCode>General</c:formatCode>
                <c:ptCount val="6"/>
                <c:pt idx="0">
                  <c:v>2.52941176470588</c:v>
                </c:pt>
                <c:pt idx="1">
                  <c:v>3.16666666666667</c:v>
                </c:pt>
                <c:pt idx="2">
                  <c:v>1.55555555555556</c:v>
                </c:pt>
                <c:pt idx="3">
                  <c:v>1.625</c:v>
                </c:pt>
                <c:pt idx="4">
                  <c:v>2.4</c:v>
                </c:pt>
                <c:pt idx="5">
                  <c:v>1.63636363636364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'Tablas dinámicas probando'!$S$11</c:f>
              <c:strCache>
                <c:ptCount val="1"/>
                <c:pt idx="0">
                  <c:v>0,75 - 1,00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probando'!$S$12:$S$17</c:f>
              <c:numCache>
                <c:formatCode>General</c:formatCode>
                <c:ptCount val="6"/>
                <c:pt idx="0">
                  <c:v>2</c:v>
                </c:pt>
                <c:pt idx="1">
                  <c:v>2.8</c:v>
                </c:pt>
                <c:pt idx="2">
                  <c:v>2.6</c:v>
                </c:pt>
                <c:pt idx="3">
                  <c:v>2</c:v>
                </c:pt>
                <c:pt idx="4">
                  <c:v>2.16666666666667</c:v>
                </c:pt>
                <c:pt idx="5">
                  <c:v>1.875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'Tablas dinámicas probando'!$T$11</c:f>
              <c:strCache>
                <c:ptCount val="1"/>
                <c:pt idx="0">
                  <c:v>1,00 - 1,25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probando'!$T$12:$T$17</c:f>
              <c:numCache>
                <c:formatCode>General</c:formatCode>
                <c:ptCount val="6"/>
                <c:pt idx="0">
                  <c:v>2.93333333333333</c:v>
                </c:pt>
                <c:pt idx="1">
                  <c:v>2.7</c:v>
                </c:pt>
                <c:pt idx="2">
                  <c:v>2</c:v>
                </c:pt>
                <c:pt idx="3">
                  <c:v>1.28571428571429</c:v>
                </c:pt>
                <c:pt idx="4">
                  <c:v>1.66666666666667</c:v>
                </c:pt>
                <c:pt idx="5">
                  <c:v>2.25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'Tablas dinámicas probando'!$U$11</c:f>
              <c:strCache>
                <c:ptCount val="1"/>
                <c:pt idx="0">
                  <c:v>1,25 - 1,50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'Tablas dinámicas probando'!$O$12:$O$17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'Tablas dinámicas probando'!$U$12:$U$17</c:f>
              <c:numCache>
                <c:formatCode>General</c:formatCode>
                <c:ptCount val="6"/>
                <c:pt idx="0">
                  <c:v>3.63636363636364</c:v>
                </c:pt>
                <c:pt idx="1">
                  <c:v>4.14285714285714</c:v>
                </c:pt>
                <c:pt idx="2">
                  <c:v>2.8</c:v>
                </c:pt>
                <c:pt idx="3">
                  <c:v>2.14285714285714</c:v>
                </c:pt>
                <c:pt idx="4">
                  <c:v>1.6</c:v>
                </c:pt>
                <c:pt idx="5">
                  <c:v>2.71428571428571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77503"/>
        <c:axId val="65181043"/>
      </c:lineChart>
      <c:catAx>
        <c:axId val="14775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5181043"/>
        <c:crosses val="autoZero"/>
        <c:auto val="1"/>
        <c:lblAlgn val="ctr"/>
        <c:lblOffset val="100"/>
        <c:noMultiLvlLbl val="0"/>
      </c:catAx>
      <c:valAx>
        <c:axId val="65181043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77503"/>
        <c:crosses val="autoZero"/>
        <c:crossBetween val="between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662440570523"/>
          <c:y val="0.0397418826180477"/>
          <c:w val="0.87513206550449"/>
          <c:h val="0.755403052340469"/>
        </c:manualLayout>
      </c:layout>
      <c:lineChart>
        <c:grouping val="standard"/>
        <c:varyColors val="0"/>
        <c:ser>
          <c:idx val="0"/>
          <c:order val="0"/>
          <c:tx>
            <c:strRef>
              <c:f>Análisis!$AA$19</c:f>
              <c:strCache>
                <c:ptCount val="1"/>
                <c:pt idx="0">
                  <c:v>Quiebres recientes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square"/>
            <c:size val="10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Análisis!$AA$20:$AA$25</c:f>
              <c:numCache>
                <c:formatCode>General</c:formatCode>
                <c:ptCount val="6"/>
                <c:pt idx="0">
                  <c:v>0.1</c:v>
                </c:pt>
                <c:pt idx="1">
                  <c:v>0.5</c:v>
                </c:pt>
                <c:pt idx="2">
                  <c:v>2.9</c:v>
                </c:pt>
                <c:pt idx="3">
                  <c:v>1.9</c:v>
                </c:pt>
                <c:pt idx="4">
                  <c:v>1.8</c:v>
                </c:pt>
                <c:pt idx="5">
                  <c:v>0.2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Análisis!$AB$19</c:f>
              <c:strCache>
                <c:ptCount val="1"/>
                <c:pt idx="0">
                  <c:v>0 - 0,5 m</c:v>
                </c:pt>
              </c:strCache>
            </c:strRef>
          </c:tx>
          <c:spPr>
            <a:solidFill>
              <a:srgbClr val="d9d9d9"/>
            </a:solidFill>
            <a:ln w="22320">
              <a:solidFill>
                <a:srgbClr val="d9d9d9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d9d9d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Análisis!$AB$20:$AB$25</c:f>
              <c:numCache>
                <c:formatCode>General</c:formatCode>
                <c:ptCount val="6"/>
                <c:pt idx="0">
                  <c:v>33.9</c:v>
                </c:pt>
                <c:pt idx="1">
                  <c:v>25.3</c:v>
                </c:pt>
                <c:pt idx="2">
                  <c:v>15.4</c:v>
                </c:pt>
                <c:pt idx="3">
                  <c:v>1.6</c:v>
                </c:pt>
                <c:pt idx="4">
                  <c:v>6.2</c:v>
                </c:pt>
                <c:pt idx="5">
                  <c:v>16.5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Análisis!$AC$19</c:f>
              <c:strCache>
                <c:ptCount val="1"/>
                <c:pt idx="0">
                  <c:v> 0,5 - 1 m</c:v>
                </c:pt>
              </c:strCache>
            </c:strRef>
          </c:tx>
          <c:spPr>
            <a:solidFill>
              <a:srgbClr val="a6a6a6"/>
            </a:solidFill>
            <a:ln w="22320">
              <a:solidFill>
                <a:srgbClr val="a6a6a6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a6a6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Análisis!$AC$20:$AC$25</c:f>
              <c:numCache>
                <c:formatCode>General</c:formatCode>
                <c:ptCount val="6"/>
                <c:pt idx="0">
                  <c:v>7.5</c:v>
                </c:pt>
                <c:pt idx="1">
                  <c:v>6.6</c:v>
                </c:pt>
                <c:pt idx="2">
                  <c:v>2.7</c:v>
                </c:pt>
                <c:pt idx="3">
                  <c:v>2.7</c:v>
                </c:pt>
                <c:pt idx="4">
                  <c:v>2.5</c:v>
                </c:pt>
                <c:pt idx="5">
                  <c:v>3.3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Análisis!$AD$19</c:f>
              <c:strCache>
                <c:ptCount val="1"/>
                <c:pt idx="0">
                  <c:v>1 - 1,5 m</c:v>
                </c:pt>
              </c:strCache>
            </c:strRef>
          </c:tx>
          <c:spPr>
            <a:solidFill>
              <a:srgbClr val="808080"/>
            </a:solidFill>
            <a:ln w="22320">
              <a:solidFill>
                <a:srgbClr val="808080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Análisis!$AD$20:$AD$25</c:f>
              <c:numCache>
                <c:formatCode>General</c:formatCode>
                <c:ptCount val="6"/>
                <c:pt idx="0">
                  <c:v>8.4</c:v>
                </c:pt>
                <c:pt idx="1">
                  <c:v>5.6</c:v>
                </c:pt>
                <c:pt idx="2">
                  <c:v>3.4</c:v>
                </c:pt>
                <c:pt idx="3">
                  <c:v>2.4</c:v>
                </c:pt>
                <c:pt idx="4">
                  <c:v>1.3</c:v>
                </c:pt>
                <c:pt idx="5">
                  <c:v>3.7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Análisis!$AE$19</c:f>
              <c:strCache>
                <c:ptCount val="1"/>
                <c:pt idx="0">
                  <c:v>Cobertura 0 - 1,5 m</c:v>
                </c:pt>
              </c:strCache>
            </c:strRef>
          </c:tx>
          <c:spPr>
            <a:solidFill>
              <a:srgbClr val="0d0d0d"/>
            </a:solidFill>
            <a:ln w="25560">
              <a:solidFill>
                <a:srgbClr val="0d0d0d"/>
              </a:solidFill>
              <a:round/>
            </a:ln>
          </c:spPr>
          <c:marker>
            <c:symbol val="circle"/>
            <c:size val="7"/>
            <c:spPr>
              <a:solidFill>
                <a:srgbClr val="0d0d0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Análisis!$AE$20:$AE$25</c:f>
              <c:numCache>
                <c:formatCode>General</c:formatCode>
                <c:ptCount val="6"/>
                <c:pt idx="0">
                  <c:v>49.8</c:v>
                </c:pt>
                <c:pt idx="1">
                  <c:v>37.5</c:v>
                </c:pt>
                <c:pt idx="2">
                  <c:v>21.5</c:v>
                </c:pt>
                <c:pt idx="3">
                  <c:v>6.7</c:v>
                </c:pt>
                <c:pt idx="4">
                  <c:v>10</c:v>
                </c:pt>
                <c:pt idx="5">
                  <c:v>23.5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172672"/>
        <c:axId val="38010224"/>
      </c:lineChart>
      <c:catAx>
        <c:axId val="52172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010224"/>
        <c:crosses val="autoZero"/>
        <c:auto val="1"/>
        <c:lblAlgn val="ctr"/>
        <c:lblOffset val="100"/>
        <c:noMultiLvlLbl val="0"/>
      </c:catAx>
      <c:valAx>
        <c:axId val="38010224"/>
        <c:scaling>
          <c:orientation val="minMax"/>
          <c:max val="5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2172672"/>
        <c:crosses val="autoZero"/>
        <c:crossBetween val="between"/>
        <c:majorUnit val="10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b"/>
      <c:layout>
        <c:manualLayout>
          <c:xMode val="edge"/>
          <c:yMode val="edge"/>
          <c:x val="0.088135593220339"/>
          <c:y val="0.887613113401475"/>
          <c:w val="0.887905867698741"/>
          <c:h val="0.095449288351151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8410655007692"/>
          <c:y val="0.0509119538118357"/>
          <c:w val="0.840984535665128"/>
          <c:h val="0.791234746096313"/>
        </c:manualLayout>
      </c:layout>
      <c:lineChart>
        <c:grouping val="standard"/>
        <c:varyColors val="0"/>
        <c:ser>
          <c:idx val="0"/>
          <c:order val="0"/>
          <c:tx>
            <c:strRef>
              <c:f>Análisis!$Z$29</c:f>
              <c:strCache>
                <c:ptCount val="1"/>
                <c:pt idx="0">
                  <c:v>(0-0,5m)-Q</c:v>
                </c:pt>
              </c:strCache>
            </c:strRef>
          </c:tx>
          <c:spPr>
            <a:solidFill>
              <a:srgbClr val="d9d9d9"/>
            </a:solidFill>
            <a:ln w="28440">
              <a:solidFill>
                <a:srgbClr val="d9d9d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Análisis!$Y$30:$Y$35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Análisis!$Z$30:$Z$35</c:f>
              <c:numCache>
                <c:formatCode>General</c:formatCode>
                <c:ptCount val="6"/>
                <c:pt idx="0">
                  <c:v>33.8</c:v>
                </c:pt>
                <c:pt idx="1">
                  <c:v>24.8</c:v>
                </c:pt>
                <c:pt idx="2">
                  <c:v>12.5</c:v>
                </c:pt>
                <c:pt idx="3">
                  <c:v>-0.3</c:v>
                </c:pt>
                <c:pt idx="4">
                  <c:v>4.4</c:v>
                </c:pt>
                <c:pt idx="5">
                  <c:v>16.3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Análisis!$AA$29</c:f>
              <c:strCache>
                <c:ptCount val="1"/>
                <c:pt idx="0">
                  <c:v>(0,5-1m)-Q</c:v>
                </c:pt>
              </c:strCache>
            </c:strRef>
          </c:tx>
          <c:spPr>
            <a:solidFill>
              <a:srgbClr val="a6a6a6"/>
            </a:solidFill>
            <a:ln w="28440">
              <a:solidFill>
                <a:srgbClr val="a6a6a6"/>
              </a:solidFill>
              <a:round/>
            </a:ln>
          </c:spPr>
          <c:marker>
            <c:symbol val="circle"/>
            <c:size val="7"/>
            <c:spPr>
              <a:solidFill>
                <a:srgbClr val="a6a6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Análisis!$Y$30:$Y$35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Análisis!$AA$30:$AA$35</c:f>
              <c:numCache>
                <c:formatCode>General</c:formatCode>
                <c:ptCount val="6"/>
                <c:pt idx="0">
                  <c:v>7.4</c:v>
                </c:pt>
                <c:pt idx="1">
                  <c:v>6.1</c:v>
                </c:pt>
                <c:pt idx="2">
                  <c:v>-0.2</c:v>
                </c:pt>
                <c:pt idx="3">
                  <c:v>0.8</c:v>
                </c:pt>
                <c:pt idx="4">
                  <c:v>0.7</c:v>
                </c:pt>
                <c:pt idx="5">
                  <c:v>3.1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Análisis!$AB$29</c:f>
              <c:strCache>
                <c:ptCount val="1"/>
                <c:pt idx="0">
                  <c:v>(1-1,5m)-Q</c:v>
                </c:pt>
              </c:strCache>
            </c:strRef>
          </c:tx>
          <c:spPr>
            <a:solidFill>
              <a:srgbClr val="808080"/>
            </a:solidFill>
            <a:ln w="28440">
              <a:solidFill>
                <a:srgbClr val="808080"/>
              </a:solidFill>
              <a:round/>
            </a:ln>
          </c:spPr>
          <c:marker>
            <c:symbol val="square"/>
            <c:size val="7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Análisis!$Y$30:$Y$35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Análisis!$AB$30:$AB$35</c:f>
              <c:numCache>
                <c:formatCode>General</c:formatCode>
                <c:ptCount val="6"/>
                <c:pt idx="0">
                  <c:v>8.3</c:v>
                </c:pt>
                <c:pt idx="1">
                  <c:v>5.1</c:v>
                </c:pt>
                <c:pt idx="2">
                  <c:v>0.5</c:v>
                </c:pt>
                <c:pt idx="3">
                  <c:v>0.5</c:v>
                </c:pt>
                <c:pt idx="4">
                  <c:v>-0.5</c:v>
                </c:pt>
                <c:pt idx="5">
                  <c:v>3.5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81218"/>
        <c:axId val="72707071"/>
      </c:lineChart>
      <c:catAx>
        <c:axId val="32812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707071"/>
        <c:crosses val="autoZero"/>
        <c:auto val="1"/>
        <c:lblAlgn val="ctr"/>
        <c:lblOffset val="100"/>
        <c:noMultiLvlLbl val="0"/>
      </c:catAx>
      <c:valAx>
        <c:axId val="72707071"/>
        <c:scaling>
          <c:orientation val="minMax"/>
          <c:max val="3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81218"/>
        <c:crosses val="autoZero"/>
        <c:crossBetween val="between"/>
        <c:majorUnit val="10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1943319838057"/>
          <c:y val="0.0514435695538058"/>
          <c:w val="0.847368421052632"/>
          <c:h val="0.7209973753280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Análisis!$AB$19</c:f>
              <c:strCache>
                <c:ptCount val="1"/>
                <c:pt idx="0">
                  <c:v>0 - 0,5 m</c:v>
                </c:pt>
              </c:strCache>
            </c:strRef>
          </c:tx>
          <c:spPr>
            <a:solidFill>
              <a:srgbClr val="d9d9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Análisis!$AB$20:$AB$25</c:f>
              <c:numCache>
                <c:formatCode>General</c:formatCode>
                <c:ptCount val="6"/>
                <c:pt idx="0">
                  <c:v>33.9</c:v>
                </c:pt>
                <c:pt idx="1">
                  <c:v>25.3</c:v>
                </c:pt>
                <c:pt idx="2">
                  <c:v>15.4</c:v>
                </c:pt>
                <c:pt idx="3">
                  <c:v>1.6</c:v>
                </c:pt>
                <c:pt idx="4">
                  <c:v>6.2</c:v>
                </c:pt>
                <c:pt idx="5">
                  <c:v>16.5</c:v>
                </c:pt>
              </c:numCache>
            </c:numRef>
          </c:val>
        </c:ser>
        <c:ser>
          <c:idx val="1"/>
          <c:order val="1"/>
          <c:tx>
            <c:strRef>
              <c:f>Análisis!$AC$19</c:f>
              <c:strCache>
                <c:ptCount val="1"/>
                <c:pt idx="0">
                  <c:v> 0,5 - 1 m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Análisis!$AC$20:$AC$25</c:f>
              <c:numCache>
                <c:formatCode>General</c:formatCode>
                <c:ptCount val="6"/>
                <c:pt idx="0">
                  <c:v>7.5</c:v>
                </c:pt>
                <c:pt idx="1">
                  <c:v>6.6</c:v>
                </c:pt>
                <c:pt idx="2">
                  <c:v>2.7</c:v>
                </c:pt>
                <c:pt idx="3">
                  <c:v>2.7</c:v>
                </c:pt>
                <c:pt idx="4">
                  <c:v>2.5</c:v>
                </c:pt>
                <c:pt idx="5">
                  <c:v>3.3</c:v>
                </c:pt>
              </c:numCache>
            </c:numRef>
          </c:val>
        </c:ser>
        <c:ser>
          <c:idx val="2"/>
          <c:order val="2"/>
          <c:tx>
            <c:strRef>
              <c:f>Análisis!$AD$19</c:f>
              <c:strCache>
                <c:ptCount val="1"/>
                <c:pt idx="0">
                  <c:v>1 - 1,5 m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Análisis!$AD$20:$AD$25</c:f>
              <c:numCache>
                <c:formatCode>General</c:formatCode>
                <c:ptCount val="6"/>
                <c:pt idx="0">
                  <c:v>8.4</c:v>
                </c:pt>
                <c:pt idx="1">
                  <c:v>5.6</c:v>
                </c:pt>
                <c:pt idx="2">
                  <c:v>3.4</c:v>
                </c:pt>
                <c:pt idx="3">
                  <c:v>2.4</c:v>
                </c:pt>
                <c:pt idx="4">
                  <c:v>1.3</c:v>
                </c:pt>
                <c:pt idx="5">
                  <c:v>3.7</c:v>
                </c:pt>
              </c:numCache>
            </c:numRef>
          </c:val>
        </c:ser>
        <c:gapWidth val="150"/>
        <c:overlap val="100"/>
        <c:axId val="16131624"/>
        <c:axId val="26887163"/>
      </c:barChart>
      <c:catAx>
        <c:axId val="16131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6887163"/>
        <c:crosses val="autoZero"/>
        <c:auto val="1"/>
        <c:lblAlgn val="ctr"/>
        <c:lblOffset val="100"/>
        <c:noMultiLvlLbl val="0"/>
      </c:catAx>
      <c:valAx>
        <c:axId val="26887163"/>
        <c:scaling>
          <c:orientation val="minMax"/>
          <c:max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6131624"/>
        <c:crosses val="autoZero"/>
        <c:crossBetween val="between"/>
        <c:majorUnit val="10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6970483295492"/>
          <c:y val="0.137252893577794"/>
          <c:w val="0.875121634771327"/>
          <c:h val="0.74454573389327"/>
        </c:manualLayout>
      </c:layout>
      <c:lineChart>
        <c:grouping val="standard"/>
        <c:varyColors val="0"/>
        <c:ser>
          <c:idx val="0"/>
          <c:order val="0"/>
          <c:tx>
            <c:strRef>
              <c:f>Análisis!$AB$19</c:f>
              <c:strCache>
                <c:ptCount val="1"/>
                <c:pt idx="0">
                  <c:v>0 - 0,5 m</c:v>
                </c:pt>
              </c:strCache>
            </c:strRef>
          </c:tx>
          <c:spPr>
            <a:solidFill>
              <a:srgbClr val="808080"/>
            </a:solidFill>
            <a:ln w="28440">
              <a:solidFill>
                <a:srgbClr val="808080"/>
              </a:solidFill>
              <a:round/>
            </a:ln>
          </c:spPr>
          <c:marker>
            <c:symbol val="circle"/>
            <c:size val="5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Análisis!$AB$20:$AB$25</c:f>
              <c:numCache>
                <c:formatCode>General</c:formatCode>
                <c:ptCount val="6"/>
                <c:pt idx="0">
                  <c:v>33.9</c:v>
                </c:pt>
                <c:pt idx="1">
                  <c:v>25.3</c:v>
                </c:pt>
                <c:pt idx="2">
                  <c:v>15.4</c:v>
                </c:pt>
                <c:pt idx="3">
                  <c:v>1.6</c:v>
                </c:pt>
                <c:pt idx="4">
                  <c:v>6.2</c:v>
                </c:pt>
                <c:pt idx="5">
                  <c:v>16.5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Análisis!$AC$19</c:f>
              <c:strCache>
                <c:ptCount val="1"/>
                <c:pt idx="0">
                  <c:v> 0,5 - 1 m</c:v>
                </c:pt>
              </c:strCache>
            </c:strRef>
          </c:tx>
          <c:spPr>
            <a:solidFill>
              <a:srgbClr val="c4bd97"/>
            </a:solidFill>
            <a:ln w="22320">
              <a:solidFill>
                <a:srgbClr val="c4bd97"/>
              </a:solidFill>
              <a:round/>
            </a:ln>
          </c:spPr>
          <c:marker>
            <c:symbol val="circle"/>
            <c:size val="5"/>
            <c:spPr>
              <a:solidFill>
                <a:srgbClr val="c4bd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Análisis!$AC$20:$AC$25</c:f>
              <c:numCache>
                <c:formatCode>General</c:formatCode>
                <c:ptCount val="6"/>
                <c:pt idx="0">
                  <c:v>7.5</c:v>
                </c:pt>
                <c:pt idx="1">
                  <c:v>6.6</c:v>
                </c:pt>
                <c:pt idx="2">
                  <c:v>2.7</c:v>
                </c:pt>
                <c:pt idx="3">
                  <c:v>2.7</c:v>
                </c:pt>
                <c:pt idx="4">
                  <c:v>2.5</c:v>
                </c:pt>
                <c:pt idx="5">
                  <c:v>3.3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Análisis!$AD$19</c:f>
              <c:strCache>
                <c:ptCount val="1"/>
                <c:pt idx="0">
                  <c:v>1 - 1,5 m</c:v>
                </c:pt>
              </c:strCache>
            </c:strRef>
          </c:tx>
          <c:spPr>
            <a:solidFill>
              <a:srgbClr val="d9d9d9"/>
            </a:solidFill>
            <a:ln w="22320">
              <a:solidFill>
                <a:srgbClr val="d9d9d9"/>
              </a:solidFill>
              <a:round/>
            </a:ln>
          </c:spPr>
          <c:marker>
            <c:symbol val="circle"/>
            <c:size val="5"/>
            <c:spPr>
              <a:solidFill>
                <a:srgbClr val="d9d9d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Análisis!$Z$20:$Z$25</c:f>
              <c:strCache>
                <c:ptCount val="6"/>
                <c:pt idx="0">
                  <c:v>Feb</c:v>
                </c:pt>
                <c:pt idx="1">
                  <c:v>Abr</c:v>
                </c:pt>
                <c:pt idx="2">
                  <c:v>Jun</c:v>
                </c:pt>
                <c:pt idx="3">
                  <c:v>Ago</c:v>
                </c:pt>
                <c:pt idx="4">
                  <c:v>Oct</c:v>
                </c:pt>
                <c:pt idx="5">
                  <c:v>Dic</c:v>
                </c:pt>
              </c:strCache>
            </c:strRef>
          </c:cat>
          <c:val>
            <c:numRef>
              <c:f>Análisis!$AD$20:$AD$25</c:f>
              <c:numCache>
                <c:formatCode>General</c:formatCode>
                <c:ptCount val="6"/>
                <c:pt idx="0">
                  <c:v>8.4</c:v>
                </c:pt>
                <c:pt idx="1">
                  <c:v>5.6</c:v>
                </c:pt>
                <c:pt idx="2">
                  <c:v>3.4</c:v>
                </c:pt>
                <c:pt idx="3">
                  <c:v>2.4</c:v>
                </c:pt>
                <c:pt idx="4">
                  <c:v>1.3</c:v>
                </c:pt>
                <c:pt idx="5">
                  <c:v>3.7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024069"/>
        <c:axId val="73406999"/>
      </c:lineChart>
      <c:catAx>
        <c:axId val="9002406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3406999"/>
        <c:crosses val="autoZero"/>
        <c:auto val="1"/>
        <c:lblAlgn val="ctr"/>
        <c:lblOffset val="100"/>
        <c:noMultiLvlLbl val="0"/>
      </c:catAx>
      <c:valAx>
        <c:axId val="73406999"/>
        <c:scaling>
          <c:orientation val="minMax"/>
          <c:max val="4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0024069"/>
        <c:crosses val="autoZero"/>
        <c:crossBetween val="between"/>
        <c:majorUnit val="10"/>
      </c:valAx>
      <c:spPr>
        <a:solidFill>
          <a:srgbClr val="ffffff"/>
        </a:solidFill>
        <a:ln w="0">
          <a:solidFill>
            <a:srgbClr val="808080"/>
          </a:solidFill>
        </a:ln>
      </c:spPr>
    </c:plotArea>
    <c:legend>
      <c:legendPos val="b"/>
      <c:layout>
        <c:manualLayout>
          <c:xMode val="edge"/>
          <c:yMode val="edge"/>
          <c:x val="0.701129943502825"/>
          <c:y val="0.193846175732099"/>
          <c:w val="0.198399928822457"/>
          <c:h val="0.198963788063077"/>
        </c:manualLayout>
      </c:layout>
      <c:overlay val="0"/>
      <c:spPr>
        <a:noFill/>
        <a:ln w="0">
          <a:solidFill>
            <a:srgbClr val="d9d9d9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image" Target="../media/image15.wmf"/><Relationship Id="rId7" Type="http://schemas.openxmlformats.org/officeDocument/2006/relationships/image" Target="../media/image16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38160</xdr:colOff>
      <xdr:row>7</xdr:row>
      <xdr:rowOff>28800</xdr:rowOff>
    </xdr:from>
    <xdr:to>
      <xdr:col>29</xdr:col>
      <xdr:colOff>488160</xdr:colOff>
      <xdr:row>23</xdr:row>
      <xdr:rowOff>190080</xdr:rowOff>
    </xdr:to>
    <xdr:graphicFrame>
      <xdr:nvGraphicFramePr>
        <xdr:cNvPr id="0" name="9 Gráfico"/>
        <xdr:cNvGraphicFramePr/>
      </xdr:nvGraphicFramePr>
      <xdr:xfrm>
        <a:off x="20777760" y="1346760"/>
        <a:ext cx="5825160" cy="320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114840</xdr:colOff>
      <xdr:row>17</xdr:row>
      <xdr:rowOff>57600</xdr:rowOff>
    </xdr:from>
    <xdr:to>
      <xdr:col>20</xdr:col>
      <xdr:colOff>114120</xdr:colOff>
      <xdr:row>31</xdr:row>
      <xdr:rowOff>133560</xdr:rowOff>
    </xdr:to>
    <xdr:graphicFrame>
      <xdr:nvGraphicFramePr>
        <xdr:cNvPr id="1" name="12 Gráfico"/>
        <xdr:cNvGraphicFramePr/>
      </xdr:nvGraphicFramePr>
      <xdr:xfrm>
        <a:off x="14925960" y="3280680"/>
        <a:ext cx="4445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238320</xdr:colOff>
      <xdr:row>138</xdr:row>
      <xdr:rowOff>124200</xdr:rowOff>
    </xdr:from>
    <xdr:to>
      <xdr:col>9</xdr:col>
      <xdr:colOff>666360</xdr:colOff>
      <xdr:row>153</xdr:row>
      <xdr:rowOff>9360</xdr:rowOff>
    </xdr:to>
    <xdr:graphicFrame>
      <xdr:nvGraphicFramePr>
        <xdr:cNvPr id="2" name="14 Gráfico"/>
        <xdr:cNvGraphicFramePr/>
      </xdr:nvGraphicFramePr>
      <xdr:xfrm>
        <a:off x="4280400" y="26397720"/>
        <a:ext cx="70297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360</xdr:colOff>
      <xdr:row>33</xdr:row>
      <xdr:rowOff>0</xdr:rowOff>
    </xdr:from>
    <xdr:to>
      <xdr:col>19</xdr:col>
      <xdr:colOff>740520</xdr:colOff>
      <xdr:row>47</xdr:row>
      <xdr:rowOff>76320</xdr:rowOff>
    </xdr:to>
    <xdr:graphicFrame>
      <xdr:nvGraphicFramePr>
        <xdr:cNvPr id="3" name="5 Gráfico"/>
        <xdr:cNvGraphicFramePr/>
      </xdr:nvGraphicFramePr>
      <xdr:xfrm>
        <a:off x="14811480" y="6271200"/>
        <a:ext cx="44456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21600</xdr:colOff>
      <xdr:row>49</xdr:row>
      <xdr:rowOff>360</xdr:rowOff>
    </xdr:from>
    <xdr:to>
      <xdr:col>23</xdr:col>
      <xdr:colOff>314280</xdr:colOff>
      <xdr:row>72</xdr:row>
      <xdr:rowOff>152280</xdr:rowOff>
    </xdr:to>
    <xdr:graphicFrame>
      <xdr:nvGraphicFramePr>
        <xdr:cNvPr id="4" name="6 Gráfico"/>
        <xdr:cNvGraphicFramePr/>
      </xdr:nvGraphicFramePr>
      <xdr:xfrm>
        <a:off x="14832720" y="9319320"/>
        <a:ext cx="6962040" cy="45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29</xdr:col>
      <xdr:colOff>305280</xdr:colOff>
      <xdr:row>96</xdr:row>
      <xdr:rowOff>360</xdr:rowOff>
    </xdr:from>
    <xdr:to>
      <xdr:col>33</xdr:col>
      <xdr:colOff>447840</xdr:colOff>
      <xdr:row>111</xdr:row>
      <xdr:rowOff>47160</xdr:rowOff>
    </xdr:to>
    <xdr:pic>
      <xdr:nvPicPr>
        <xdr:cNvPr id="5" name="Picture 1" descr=""/>
        <xdr:cNvPicPr/>
      </xdr:nvPicPr>
      <xdr:blipFill>
        <a:blip r:embed="rId6"/>
        <a:stretch/>
      </xdr:blipFill>
      <xdr:spPr>
        <a:xfrm>
          <a:off x="26420040" y="18272880"/>
          <a:ext cx="3106800" cy="29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29</xdr:col>
      <xdr:colOff>400320</xdr:colOff>
      <xdr:row>79</xdr:row>
      <xdr:rowOff>360</xdr:rowOff>
    </xdr:from>
    <xdr:to>
      <xdr:col>33</xdr:col>
      <xdr:colOff>542880</xdr:colOff>
      <xdr:row>94</xdr:row>
      <xdr:rowOff>47160</xdr:rowOff>
    </xdr:to>
    <xdr:pic>
      <xdr:nvPicPr>
        <xdr:cNvPr id="6" name="Picture 2" descr=""/>
        <xdr:cNvPicPr/>
      </xdr:nvPicPr>
      <xdr:blipFill>
        <a:blip r:embed="rId7"/>
        <a:stretch/>
      </xdr:blipFill>
      <xdr:spPr>
        <a:xfrm>
          <a:off x="26515080" y="15034320"/>
          <a:ext cx="3106800" cy="290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571680</xdr:colOff>
      <xdr:row>1</xdr:row>
      <xdr:rowOff>142920</xdr:rowOff>
    </xdr:from>
    <xdr:to>
      <xdr:col>39</xdr:col>
      <xdr:colOff>95040</xdr:colOff>
      <xdr:row>20</xdr:row>
      <xdr:rowOff>37800</xdr:rowOff>
    </xdr:to>
    <xdr:graphicFrame>
      <xdr:nvGraphicFramePr>
        <xdr:cNvPr id="7" name="1 Gráfico"/>
        <xdr:cNvGraphicFramePr/>
      </xdr:nvGraphicFramePr>
      <xdr:xfrm>
        <a:off x="17681040" y="333360"/>
        <a:ext cx="5451480" cy="351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714240</xdr:colOff>
      <xdr:row>27</xdr:row>
      <xdr:rowOff>114480</xdr:rowOff>
    </xdr:from>
    <xdr:to>
      <xdr:col>35</xdr:col>
      <xdr:colOff>713880</xdr:colOff>
      <xdr:row>41</xdr:row>
      <xdr:rowOff>190800</xdr:rowOff>
    </xdr:to>
    <xdr:graphicFrame>
      <xdr:nvGraphicFramePr>
        <xdr:cNvPr id="8" name="2 Gráfico"/>
        <xdr:cNvGraphicFramePr/>
      </xdr:nvGraphicFramePr>
      <xdr:xfrm>
        <a:off x="16341480" y="5257800"/>
        <a:ext cx="444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35</xdr:col>
      <xdr:colOff>609480</xdr:colOff>
      <xdr:row>20</xdr:row>
      <xdr:rowOff>66600</xdr:rowOff>
    </xdr:from>
    <xdr:to>
      <xdr:col>41</xdr:col>
      <xdr:colOff>609120</xdr:colOff>
      <xdr:row>34</xdr:row>
      <xdr:rowOff>142560</xdr:rowOff>
    </xdr:to>
    <xdr:graphicFrame>
      <xdr:nvGraphicFramePr>
        <xdr:cNvPr id="9" name="3 Gráfico"/>
        <xdr:cNvGraphicFramePr/>
      </xdr:nvGraphicFramePr>
      <xdr:xfrm>
        <a:off x="20683080" y="3876480"/>
        <a:ext cx="4445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0</xdr:colOff>
      <xdr:row>37</xdr:row>
      <xdr:rowOff>0</xdr:rowOff>
    </xdr:from>
    <xdr:to>
      <xdr:col>31</xdr:col>
      <xdr:colOff>95040</xdr:colOff>
      <xdr:row>55</xdr:row>
      <xdr:rowOff>85320</xdr:rowOff>
    </xdr:to>
    <xdr:graphicFrame>
      <xdr:nvGraphicFramePr>
        <xdr:cNvPr id="10" name="1 Gráfico"/>
        <xdr:cNvGraphicFramePr/>
      </xdr:nvGraphicFramePr>
      <xdr:xfrm>
        <a:off x="11655360" y="7048440"/>
        <a:ext cx="5549040" cy="351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0" createdVersion="3">
  <cacheSource type="worksheet">
    <worksheetSource ref="A2:H362" sheet="Crudos simplificado"/>
  </cacheSource>
  <cacheFields count="8">
    <cacheField name="Fecha" numFmtId="0">
      <sharedItems containsSemiMixedTypes="0" containsNonDate="0" containsDate="1" containsString="0" minDate="2007-02-01T00:00:00" maxDate="2007-12-12T00:00:00" count="17">
        <d v="2007-02-01T00:00:00"/>
        <d v="2007-02-02T00:00:00"/>
        <d v="2007-02-03T00:00:00"/>
        <d v="2007-03-31T00:00:00"/>
        <d v="2007-04-01T00:00:00"/>
        <d v="2007-04-02T00:00:00"/>
        <d v="2007-04-04T00:00:00"/>
        <d v="2007-06-24T00:00:00"/>
        <d v="2007-06-25T00:00:00"/>
        <d v="2007-08-25T00:00:00"/>
        <d v="2007-08-26T00:00:00"/>
        <d v="2007-10-01T00:00:00"/>
        <d v="2007-10-02T00:00:00"/>
        <d v="2007-10-04T00:00:00"/>
        <d v="2007-10-05T00:00:00"/>
        <d v="2007-12-11T00:00:00"/>
        <d v="2007-12-12T00:00:00"/>
      </sharedItems>
    </cacheField>
    <cacheField name="Mes" numFmtId="0">
      <sharedItems count="6">
        <s v="Abril"/>
        <s v="Agosto"/>
        <s v="Diciembre"/>
        <s v="Febrero"/>
        <s v="Junio"/>
        <s v="Octubre"/>
      </sharedItems>
    </cacheField>
    <cacheField name="Parcela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Forma de vida" numFmtId="0">
      <sharedItems count="6">
        <s v="Arboles"/>
        <s v="Arbustos"/>
        <s v="Gramineas "/>
        <s v="Helechos"/>
        <s v="Latifoliadas"/>
        <s v="Lianas / Enredaderas"/>
      </sharedItems>
    </cacheField>
    <cacheField name="0 - 0,5" numFmtId="0">
      <sharedItems containsSemiMixedTypes="0" containsString="0" containsNumber="1" containsInteger="1" minValue="0" maxValue="37" count="2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20"/>
        <n v="21"/>
        <n v="22"/>
        <n v="23"/>
        <n v="24"/>
        <n v="26"/>
        <n v="27"/>
        <n v="37"/>
      </sharedItems>
    </cacheField>
    <cacheField name="0,5 - 1" numFmtId="0">
      <sharedItems containsSemiMixedTypes="0" containsString="0" containsNumber="1" containsInteger="1" minValue="0" maxValue="15" count="10">
        <n v="0"/>
        <n v="1"/>
        <n v="2"/>
        <n v="3"/>
        <n v="4"/>
        <n v="5"/>
        <n v="6"/>
        <n v="7"/>
        <n v="10"/>
        <n v="15"/>
      </sharedItems>
    </cacheField>
    <cacheField name="1 - 1,5" numFmtId="0">
      <sharedItems containsSemiMixedTypes="0" containsString="0" containsNumber="1" containsInteger="1" minValue="0" maxValue="15" count="13">
        <n v="0"/>
        <n v="1"/>
        <n v="2"/>
        <n v="3"/>
        <n v="4"/>
        <n v="5"/>
        <n v="6"/>
        <n v="8"/>
        <n v="9"/>
        <n v="10"/>
        <n v="12"/>
        <n v="13"/>
        <n v="15"/>
      </sharedItems>
    </cacheField>
    <cacheField name="Quebrados Nuevos" numFmtId="0">
      <sharedItems containsString="0" containsBlank="1" containsNumber="1" containsInteger="1" minValue="0" maxValue="14" count="9">
        <n v="0"/>
        <n v="1"/>
        <n v="2"/>
        <n v="3"/>
        <n v="4"/>
        <n v="7"/>
        <n v="9"/>
        <n v="1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60" createdVersion="3">
  <cacheSource type="worksheet">
    <worksheetSource ref="A2:K362" sheet="crudos"/>
  </cacheSource>
  <cacheFields count="11">
    <cacheField name="Fecha" numFmtId="0">
      <sharedItems containsSemiMixedTypes="0" containsNonDate="0" containsDate="1" containsString="0" minDate="2007-02-01T00:00:00" maxDate="2007-12-12T00:00:00" count="17">
        <d v="2007-02-01T00:00:00"/>
        <d v="2007-02-02T00:00:00"/>
        <d v="2007-02-03T00:00:00"/>
        <d v="2007-03-31T00:00:00"/>
        <d v="2007-04-01T00:00:00"/>
        <d v="2007-04-02T00:00:00"/>
        <d v="2007-04-04T00:00:00"/>
        <d v="2007-06-24T00:00:00"/>
        <d v="2007-06-25T00:00:00"/>
        <d v="2007-08-25T00:00:00"/>
        <d v="2007-08-26T00:00:00"/>
        <d v="2007-10-01T00:00:00"/>
        <d v="2007-10-02T00:00:00"/>
        <d v="2007-10-04T00:00:00"/>
        <d v="2007-10-05T00:00:00"/>
        <d v="2007-12-11T00:00:00"/>
        <d v="2007-12-12T00:00:00"/>
      </sharedItems>
    </cacheField>
    <cacheField name="Mes" numFmtId="0">
      <sharedItems count="6">
        <s v="Abril"/>
        <s v="Agosto"/>
        <s v="Diciembre"/>
        <s v="Febrero"/>
        <s v="Junio"/>
        <s v="Octubre"/>
      </sharedItems>
    </cacheField>
    <cacheField name="Parcela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Forma de vida" numFmtId="0">
      <sharedItems count="6">
        <s v="Arboles"/>
        <s v="Arbustos"/>
        <s v="Gramineas "/>
        <s v="Helechos"/>
        <s v="Latifoliadas"/>
        <s v="Lianas / Enredaderas"/>
      </sharedItems>
    </cacheField>
    <cacheField name="0 - 0,25" numFmtId="0">
      <sharedItems containsString="0" containsBlank="1" containsNumber="1" containsInteger="1" minValue="1" maxValue="31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9"/>
        <n v="23"/>
        <n v="31"/>
        <m/>
      </sharedItems>
    </cacheField>
    <cacheField name="0,25 - 0,50" numFmtId="0">
      <sharedItems containsString="0" containsBlank="1" containsNumber="1" containsInteger="1" minValue="1" maxValue="11" count="10">
        <n v="1"/>
        <n v="2"/>
        <n v="3"/>
        <n v="4"/>
        <n v="5"/>
        <n v="6"/>
        <n v="7"/>
        <n v="9"/>
        <n v="11"/>
        <m/>
      </sharedItems>
    </cacheField>
    <cacheField name="0,50 - 0,75" numFmtId="0">
      <sharedItems containsString="0" containsBlank="1" containsNumber="1" containsInteger="1" minValue="1" maxValue="9" count="9">
        <n v="1"/>
        <n v="2"/>
        <n v="3"/>
        <n v="4"/>
        <n v="5"/>
        <n v="6"/>
        <n v="7"/>
        <n v="9"/>
        <m/>
      </sharedItems>
    </cacheField>
    <cacheField name="0,75 - 1,00" numFmtId="0">
      <sharedItems containsString="0" containsBlank="1" containsNumber="1" containsInteger="1" minValue="1" maxValue="6" count="6">
        <n v="1"/>
        <n v="2"/>
        <n v="3"/>
        <n v="4"/>
        <n v="6"/>
        <m/>
      </sharedItems>
    </cacheField>
    <cacheField name="1,00 - 1,25" numFmtId="0">
      <sharedItems containsString="0" containsBlank="1" containsNumber="1" containsInteger="1" minValue="1" maxValue="10" count="8">
        <n v="1"/>
        <n v="2"/>
        <n v="3"/>
        <n v="4"/>
        <n v="7"/>
        <n v="8"/>
        <n v="10"/>
        <m/>
      </sharedItems>
    </cacheField>
    <cacheField name="1,25 - 1,50" numFmtId="0">
      <sharedItems containsString="0" containsBlank="1" containsNumber="1" containsInteger="1" minValue="1" maxValue="10" count="10">
        <n v="1"/>
        <n v="2"/>
        <n v="3"/>
        <n v="4"/>
        <n v="5"/>
        <n v="6"/>
        <n v="7"/>
        <n v="9"/>
        <n v="10"/>
        <m/>
      </sharedItems>
    </cacheField>
    <cacheField name="Quebrados Nuevos" numFmtId="0">
      <sharedItems containsString="0" containsBlank="1" containsNumber="1" containsInteger="1" minValue="0" maxValue="14" count="9">
        <n v="0"/>
        <n v="1"/>
        <n v="2"/>
        <n v="3"/>
        <n v="4"/>
        <n v="7"/>
        <n v="9"/>
        <n v="1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0">
  <r>
    <x v="15"/>
    <x v="2"/>
    <x v="0"/>
    <x v="2"/>
    <x v="0"/>
    <x v="0"/>
    <x v="0"/>
    <x v="0"/>
  </r>
  <r>
    <x v="15"/>
    <x v="2"/>
    <x v="0"/>
    <x v="4"/>
    <x v="21"/>
    <x v="0"/>
    <x v="0"/>
    <x v="8"/>
  </r>
  <r>
    <x v="15"/>
    <x v="2"/>
    <x v="0"/>
    <x v="1"/>
    <x v="0"/>
    <x v="0"/>
    <x v="0"/>
    <x v="8"/>
  </r>
  <r>
    <x v="15"/>
    <x v="2"/>
    <x v="0"/>
    <x v="5"/>
    <x v="2"/>
    <x v="0"/>
    <x v="1"/>
    <x v="8"/>
  </r>
  <r>
    <x v="15"/>
    <x v="2"/>
    <x v="0"/>
    <x v="0"/>
    <x v="1"/>
    <x v="4"/>
    <x v="9"/>
    <x v="8"/>
  </r>
  <r>
    <x v="15"/>
    <x v="2"/>
    <x v="0"/>
    <x v="3"/>
    <x v="0"/>
    <x v="0"/>
    <x v="0"/>
    <x v="8"/>
  </r>
  <r>
    <x v="15"/>
    <x v="2"/>
    <x v="1"/>
    <x v="2"/>
    <x v="1"/>
    <x v="0"/>
    <x v="0"/>
    <x v="0"/>
  </r>
  <r>
    <x v="15"/>
    <x v="2"/>
    <x v="1"/>
    <x v="4"/>
    <x v="9"/>
    <x v="0"/>
    <x v="0"/>
    <x v="8"/>
  </r>
  <r>
    <x v="15"/>
    <x v="2"/>
    <x v="1"/>
    <x v="1"/>
    <x v="1"/>
    <x v="0"/>
    <x v="0"/>
    <x v="8"/>
  </r>
  <r>
    <x v="15"/>
    <x v="2"/>
    <x v="1"/>
    <x v="5"/>
    <x v="3"/>
    <x v="1"/>
    <x v="1"/>
    <x v="8"/>
  </r>
  <r>
    <x v="15"/>
    <x v="2"/>
    <x v="1"/>
    <x v="0"/>
    <x v="0"/>
    <x v="0"/>
    <x v="3"/>
    <x v="8"/>
  </r>
  <r>
    <x v="15"/>
    <x v="2"/>
    <x v="1"/>
    <x v="3"/>
    <x v="0"/>
    <x v="0"/>
    <x v="0"/>
    <x v="8"/>
  </r>
  <r>
    <x v="15"/>
    <x v="2"/>
    <x v="2"/>
    <x v="2"/>
    <x v="2"/>
    <x v="0"/>
    <x v="0"/>
    <x v="1"/>
  </r>
  <r>
    <x v="15"/>
    <x v="2"/>
    <x v="2"/>
    <x v="4"/>
    <x v="8"/>
    <x v="0"/>
    <x v="0"/>
    <x v="8"/>
  </r>
  <r>
    <x v="15"/>
    <x v="2"/>
    <x v="2"/>
    <x v="1"/>
    <x v="0"/>
    <x v="0"/>
    <x v="0"/>
    <x v="8"/>
  </r>
  <r>
    <x v="15"/>
    <x v="2"/>
    <x v="2"/>
    <x v="5"/>
    <x v="5"/>
    <x v="0"/>
    <x v="3"/>
    <x v="8"/>
  </r>
  <r>
    <x v="15"/>
    <x v="2"/>
    <x v="2"/>
    <x v="0"/>
    <x v="2"/>
    <x v="3"/>
    <x v="2"/>
    <x v="8"/>
  </r>
  <r>
    <x v="15"/>
    <x v="2"/>
    <x v="2"/>
    <x v="3"/>
    <x v="1"/>
    <x v="0"/>
    <x v="0"/>
    <x v="8"/>
  </r>
  <r>
    <x v="15"/>
    <x v="2"/>
    <x v="3"/>
    <x v="2"/>
    <x v="0"/>
    <x v="0"/>
    <x v="0"/>
    <x v="0"/>
  </r>
  <r>
    <x v="15"/>
    <x v="2"/>
    <x v="3"/>
    <x v="4"/>
    <x v="2"/>
    <x v="0"/>
    <x v="0"/>
    <x v="8"/>
  </r>
  <r>
    <x v="15"/>
    <x v="2"/>
    <x v="3"/>
    <x v="1"/>
    <x v="0"/>
    <x v="0"/>
    <x v="0"/>
    <x v="8"/>
  </r>
  <r>
    <x v="15"/>
    <x v="2"/>
    <x v="3"/>
    <x v="5"/>
    <x v="0"/>
    <x v="0"/>
    <x v="0"/>
    <x v="8"/>
  </r>
  <r>
    <x v="15"/>
    <x v="2"/>
    <x v="3"/>
    <x v="0"/>
    <x v="3"/>
    <x v="3"/>
    <x v="4"/>
    <x v="8"/>
  </r>
  <r>
    <x v="15"/>
    <x v="2"/>
    <x v="3"/>
    <x v="3"/>
    <x v="0"/>
    <x v="0"/>
    <x v="0"/>
    <x v="8"/>
  </r>
  <r>
    <x v="15"/>
    <x v="2"/>
    <x v="4"/>
    <x v="2"/>
    <x v="1"/>
    <x v="0"/>
    <x v="0"/>
    <x v="1"/>
  </r>
  <r>
    <x v="15"/>
    <x v="2"/>
    <x v="4"/>
    <x v="4"/>
    <x v="4"/>
    <x v="0"/>
    <x v="0"/>
    <x v="8"/>
  </r>
  <r>
    <x v="15"/>
    <x v="2"/>
    <x v="4"/>
    <x v="1"/>
    <x v="4"/>
    <x v="1"/>
    <x v="0"/>
    <x v="8"/>
  </r>
  <r>
    <x v="15"/>
    <x v="2"/>
    <x v="4"/>
    <x v="5"/>
    <x v="1"/>
    <x v="1"/>
    <x v="1"/>
    <x v="8"/>
  </r>
  <r>
    <x v="15"/>
    <x v="2"/>
    <x v="4"/>
    <x v="0"/>
    <x v="2"/>
    <x v="2"/>
    <x v="0"/>
    <x v="8"/>
  </r>
  <r>
    <x v="15"/>
    <x v="2"/>
    <x v="4"/>
    <x v="3"/>
    <x v="3"/>
    <x v="0"/>
    <x v="0"/>
    <x v="8"/>
  </r>
  <r>
    <x v="15"/>
    <x v="2"/>
    <x v="5"/>
    <x v="2"/>
    <x v="3"/>
    <x v="0"/>
    <x v="0"/>
    <x v="0"/>
  </r>
  <r>
    <x v="15"/>
    <x v="2"/>
    <x v="5"/>
    <x v="4"/>
    <x v="5"/>
    <x v="0"/>
    <x v="0"/>
    <x v="8"/>
  </r>
  <r>
    <x v="15"/>
    <x v="2"/>
    <x v="5"/>
    <x v="1"/>
    <x v="7"/>
    <x v="3"/>
    <x v="0"/>
    <x v="8"/>
  </r>
  <r>
    <x v="15"/>
    <x v="2"/>
    <x v="5"/>
    <x v="5"/>
    <x v="0"/>
    <x v="0"/>
    <x v="0"/>
    <x v="8"/>
  </r>
  <r>
    <x v="15"/>
    <x v="2"/>
    <x v="5"/>
    <x v="0"/>
    <x v="0"/>
    <x v="0"/>
    <x v="0"/>
    <x v="8"/>
  </r>
  <r>
    <x v="15"/>
    <x v="2"/>
    <x v="5"/>
    <x v="3"/>
    <x v="0"/>
    <x v="0"/>
    <x v="0"/>
    <x v="8"/>
  </r>
  <r>
    <x v="16"/>
    <x v="2"/>
    <x v="6"/>
    <x v="2"/>
    <x v="3"/>
    <x v="0"/>
    <x v="0"/>
    <x v="0"/>
  </r>
  <r>
    <x v="16"/>
    <x v="2"/>
    <x v="6"/>
    <x v="4"/>
    <x v="4"/>
    <x v="0"/>
    <x v="0"/>
    <x v="8"/>
  </r>
  <r>
    <x v="16"/>
    <x v="2"/>
    <x v="6"/>
    <x v="1"/>
    <x v="0"/>
    <x v="0"/>
    <x v="0"/>
    <x v="8"/>
  </r>
  <r>
    <x v="16"/>
    <x v="2"/>
    <x v="6"/>
    <x v="5"/>
    <x v="0"/>
    <x v="1"/>
    <x v="0"/>
    <x v="8"/>
  </r>
  <r>
    <x v="16"/>
    <x v="2"/>
    <x v="6"/>
    <x v="0"/>
    <x v="2"/>
    <x v="0"/>
    <x v="3"/>
    <x v="8"/>
  </r>
  <r>
    <x v="16"/>
    <x v="2"/>
    <x v="6"/>
    <x v="3"/>
    <x v="0"/>
    <x v="0"/>
    <x v="0"/>
    <x v="8"/>
  </r>
  <r>
    <x v="16"/>
    <x v="2"/>
    <x v="7"/>
    <x v="2"/>
    <x v="2"/>
    <x v="0"/>
    <x v="0"/>
    <x v="0"/>
  </r>
  <r>
    <x v="16"/>
    <x v="2"/>
    <x v="7"/>
    <x v="4"/>
    <x v="13"/>
    <x v="0"/>
    <x v="0"/>
    <x v="8"/>
  </r>
  <r>
    <x v="16"/>
    <x v="2"/>
    <x v="7"/>
    <x v="1"/>
    <x v="3"/>
    <x v="4"/>
    <x v="0"/>
    <x v="8"/>
  </r>
  <r>
    <x v="16"/>
    <x v="2"/>
    <x v="7"/>
    <x v="5"/>
    <x v="3"/>
    <x v="0"/>
    <x v="0"/>
    <x v="8"/>
  </r>
  <r>
    <x v="16"/>
    <x v="2"/>
    <x v="7"/>
    <x v="0"/>
    <x v="0"/>
    <x v="0"/>
    <x v="0"/>
    <x v="8"/>
  </r>
  <r>
    <x v="16"/>
    <x v="2"/>
    <x v="7"/>
    <x v="3"/>
    <x v="1"/>
    <x v="0"/>
    <x v="0"/>
    <x v="8"/>
  </r>
  <r>
    <x v="16"/>
    <x v="2"/>
    <x v="8"/>
    <x v="2"/>
    <x v="2"/>
    <x v="0"/>
    <x v="0"/>
    <x v="0"/>
  </r>
  <r>
    <x v="16"/>
    <x v="2"/>
    <x v="8"/>
    <x v="4"/>
    <x v="2"/>
    <x v="0"/>
    <x v="0"/>
    <x v="8"/>
  </r>
  <r>
    <x v="16"/>
    <x v="2"/>
    <x v="8"/>
    <x v="1"/>
    <x v="2"/>
    <x v="0"/>
    <x v="0"/>
    <x v="8"/>
  </r>
  <r>
    <x v="16"/>
    <x v="2"/>
    <x v="8"/>
    <x v="5"/>
    <x v="0"/>
    <x v="0"/>
    <x v="0"/>
    <x v="8"/>
  </r>
  <r>
    <x v="16"/>
    <x v="2"/>
    <x v="8"/>
    <x v="0"/>
    <x v="4"/>
    <x v="6"/>
    <x v="4"/>
    <x v="8"/>
  </r>
  <r>
    <x v="16"/>
    <x v="2"/>
    <x v="8"/>
    <x v="3"/>
    <x v="0"/>
    <x v="0"/>
    <x v="0"/>
    <x v="8"/>
  </r>
  <r>
    <x v="16"/>
    <x v="2"/>
    <x v="9"/>
    <x v="2"/>
    <x v="6"/>
    <x v="0"/>
    <x v="0"/>
    <x v="0"/>
  </r>
  <r>
    <x v="16"/>
    <x v="2"/>
    <x v="9"/>
    <x v="4"/>
    <x v="23"/>
    <x v="0"/>
    <x v="0"/>
    <x v="8"/>
  </r>
  <r>
    <x v="16"/>
    <x v="2"/>
    <x v="9"/>
    <x v="1"/>
    <x v="2"/>
    <x v="0"/>
    <x v="0"/>
    <x v="8"/>
  </r>
  <r>
    <x v="16"/>
    <x v="2"/>
    <x v="9"/>
    <x v="5"/>
    <x v="0"/>
    <x v="0"/>
    <x v="0"/>
    <x v="8"/>
  </r>
  <r>
    <x v="16"/>
    <x v="2"/>
    <x v="9"/>
    <x v="0"/>
    <x v="0"/>
    <x v="4"/>
    <x v="5"/>
    <x v="8"/>
  </r>
  <r>
    <x v="16"/>
    <x v="2"/>
    <x v="9"/>
    <x v="3"/>
    <x v="0"/>
    <x v="0"/>
    <x v="0"/>
    <x v="8"/>
  </r>
  <r>
    <x v="11"/>
    <x v="5"/>
    <x v="0"/>
    <x v="2"/>
    <x v="0"/>
    <x v="0"/>
    <x v="0"/>
    <x v="5"/>
  </r>
  <r>
    <x v="11"/>
    <x v="5"/>
    <x v="0"/>
    <x v="4"/>
    <x v="11"/>
    <x v="0"/>
    <x v="0"/>
    <x v="8"/>
  </r>
  <r>
    <x v="11"/>
    <x v="5"/>
    <x v="0"/>
    <x v="1"/>
    <x v="0"/>
    <x v="0"/>
    <x v="0"/>
    <x v="8"/>
  </r>
  <r>
    <x v="11"/>
    <x v="5"/>
    <x v="0"/>
    <x v="5"/>
    <x v="0"/>
    <x v="0"/>
    <x v="0"/>
    <x v="8"/>
  </r>
  <r>
    <x v="11"/>
    <x v="5"/>
    <x v="0"/>
    <x v="0"/>
    <x v="4"/>
    <x v="3"/>
    <x v="3"/>
    <x v="8"/>
  </r>
  <r>
    <x v="11"/>
    <x v="5"/>
    <x v="0"/>
    <x v="3"/>
    <x v="0"/>
    <x v="0"/>
    <x v="0"/>
    <x v="8"/>
  </r>
  <r>
    <x v="12"/>
    <x v="5"/>
    <x v="1"/>
    <x v="2"/>
    <x v="0"/>
    <x v="0"/>
    <x v="0"/>
    <x v="1"/>
  </r>
  <r>
    <x v="12"/>
    <x v="5"/>
    <x v="1"/>
    <x v="4"/>
    <x v="1"/>
    <x v="0"/>
    <x v="0"/>
    <x v="8"/>
  </r>
  <r>
    <x v="12"/>
    <x v="5"/>
    <x v="1"/>
    <x v="1"/>
    <x v="0"/>
    <x v="0"/>
    <x v="0"/>
    <x v="8"/>
  </r>
  <r>
    <x v="12"/>
    <x v="5"/>
    <x v="1"/>
    <x v="5"/>
    <x v="3"/>
    <x v="0"/>
    <x v="0"/>
    <x v="8"/>
  </r>
  <r>
    <x v="12"/>
    <x v="5"/>
    <x v="1"/>
    <x v="0"/>
    <x v="1"/>
    <x v="0"/>
    <x v="3"/>
    <x v="8"/>
  </r>
  <r>
    <x v="12"/>
    <x v="5"/>
    <x v="1"/>
    <x v="3"/>
    <x v="0"/>
    <x v="0"/>
    <x v="0"/>
    <x v="8"/>
  </r>
  <r>
    <x v="12"/>
    <x v="5"/>
    <x v="2"/>
    <x v="2"/>
    <x v="4"/>
    <x v="4"/>
    <x v="0"/>
    <x v="2"/>
  </r>
  <r>
    <x v="12"/>
    <x v="5"/>
    <x v="2"/>
    <x v="4"/>
    <x v="6"/>
    <x v="0"/>
    <x v="0"/>
    <x v="8"/>
  </r>
  <r>
    <x v="12"/>
    <x v="5"/>
    <x v="2"/>
    <x v="1"/>
    <x v="0"/>
    <x v="0"/>
    <x v="0"/>
    <x v="8"/>
  </r>
  <r>
    <x v="12"/>
    <x v="5"/>
    <x v="2"/>
    <x v="5"/>
    <x v="0"/>
    <x v="0"/>
    <x v="2"/>
    <x v="8"/>
  </r>
  <r>
    <x v="12"/>
    <x v="5"/>
    <x v="2"/>
    <x v="0"/>
    <x v="0"/>
    <x v="0"/>
    <x v="2"/>
    <x v="8"/>
  </r>
  <r>
    <x v="12"/>
    <x v="5"/>
    <x v="2"/>
    <x v="3"/>
    <x v="0"/>
    <x v="0"/>
    <x v="0"/>
    <x v="8"/>
  </r>
  <r>
    <x v="12"/>
    <x v="5"/>
    <x v="3"/>
    <x v="2"/>
    <x v="0"/>
    <x v="0"/>
    <x v="0"/>
    <x v="1"/>
  </r>
  <r>
    <x v="12"/>
    <x v="5"/>
    <x v="3"/>
    <x v="4"/>
    <x v="5"/>
    <x v="0"/>
    <x v="0"/>
    <x v="8"/>
  </r>
  <r>
    <x v="12"/>
    <x v="5"/>
    <x v="3"/>
    <x v="1"/>
    <x v="0"/>
    <x v="0"/>
    <x v="0"/>
    <x v="8"/>
  </r>
  <r>
    <x v="12"/>
    <x v="5"/>
    <x v="3"/>
    <x v="5"/>
    <x v="0"/>
    <x v="0"/>
    <x v="0"/>
    <x v="8"/>
  </r>
  <r>
    <x v="12"/>
    <x v="5"/>
    <x v="3"/>
    <x v="0"/>
    <x v="0"/>
    <x v="3"/>
    <x v="3"/>
    <x v="8"/>
  </r>
  <r>
    <x v="12"/>
    <x v="5"/>
    <x v="3"/>
    <x v="3"/>
    <x v="0"/>
    <x v="0"/>
    <x v="0"/>
    <x v="8"/>
  </r>
  <r>
    <x v="12"/>
    <x v="5"/>
    <x v="4"/>
    <x v="2"/>
    <x v="0"/>
    <x v="0"/>
    <x v="0"/>
    <x v="2"/>
  </r>
  <r>
    <x v="12"/>
    <x v="5"/>
    <x v="4"/>
    <x v="4"/>
    <x v="3"/>
    <x v="0"/>
    <x v="0"/>
    <x v="8"/>
  </r>
  <r>
    <x v="12"/>
    <x v="5"/>
    <x v="4"/>
    <x v="1"/>
    <x v="0"/>
    <x v="0"/>
    <x v="0"/>
    <x v="8"/>
  </r>
  <r>
    <x v="12"/>
    <x v="5"/>
    <x v="4"/>
    <x v="5"/>
    <x v="0"/>
    <x v="0"/>
    <x v="0"/>
    <x v="8"/>
  </r>
  <r>
    <x v="12"/>
    <x v="5"/>
    <x v="4"/>
    <x v="0"/>
    <x v="0"/>
    <x v="0"/>
    <x v="0"/>
    <x v="8"/>
  </r>
  <r>
    <x v="12"/>
    <x v="5"/>
    <x v="4"/>
    <x v="3"/>
    <x v="0"/>
    <x v="0"/>
    <x v="0"/>
    <x v="8"/>
  </r>
  <r>
    <x v="12"/>
    <x v="5"/>
    <x v="5"/>
    <x v="2"/>
    <x v="2"/>
    <x v="0"/>
    <x v="0"/>
    <x v="0"/>
  </r>
  <r>
    <x v="12"/>
    <x v="5"/>
    <x v="5"/>
    <x v="4"/>
    <x v="0"/>
    <x v="0"/>
    <x v="0"/>
    <x v="8"/>
  </r>
  <r>
    <x v="12"/>
    <x v="5"/>
    <x v="5"/>
    <x v="1"/>
    <x v="4"/>
    <x v="0"/>
    <x v="0"/>
    <x v="8"/>
  </r>
  <r>
    <x v="12"/>
    <x v="5"/>
    <x v="5"/>
    <x v="5"/>
    <x v="1"/>
    <x v="0"/>
    <x v="0"/>
    <x v="8"/>
  </r>
  <r>
    <x v="12"/>
    <x v="5"/>
    <x v="5"/>
    <x v="0"/>
    <x v="0"/>
    <x v="6"/>
    <x v="0"/>
    <x v="8"/>
  </r>
  <r>
    <x v="12"/>
    <x v="5"/>
    <x v="5"/>
    <x v="3"/>
    <x v="0"/>
    <x v="0"/>
    <x v="0"/>
    <x v="8"/>
  </r>
  <r>
    <x v="12"/>
    <x v="5"/>
    <x v="6"/>
    <x v="2"/>
    <x v="1"/>
    <x v="0"/>
    <x v="0"/>
    <x v="2"/>
  </r>
  <r>
    <x v="12"/>
    <x v="5"/>
    <x v="6"/>
    <x v="4"/>
    <x v="0"/>
    <x v="0"/>
    <x v="0"/>
    <x v="8"/>
  </r>
  <r>
    <x v="12"/>
    <x v="5"/>
    <x v="6"/>
    <x v="1"/>
    <x v="0"/>
    <x v="0"/>
    <x v="0"/>
    <x v="8"/>
  </r>
  <r>
    <x v="12"/>
    <x v="5"/>
    <x v="6"/>
    <x v="5"/>
    <x v="2"/>
    <x v="0"/>
    <x v="0"/>
    <x v="8"/>
  </r>
  <r>
    <x v="12"/>
    <x v="5"/>
    <x v="6"/>
    <x v="0"/>
    <x v="0"/>
    <x v="2"/>
    <x v="0"/>
    <x v="8"/>
  </r>
  <r>
    <x v="12"/>
    <x v="5"/>
    <x v="6"/>
    <x v="3"/>
    <x v="0"/>
    <x v="0"/>
    <x v="0"/>
    <x v="8"/>
  </r>
  <r>
    <x v="12"/>
    <x v="5"/>
    <x v="7"/>
    <x v="2"/>
    <x v="0"/>
    <x v="0"/>
    <x v="0"/>
    <x v="2"/>
  </r>
  <r>
    <x v="12"/>
    <x v="5"/>
    <x v="7"/>
    <x v="4"/>
    <x v="6"/>
    <x v="0"/>
    <x v="0"/>
    <x v="8"/>
  </r>
  <r>
    <x v="12"/>
    <x v="5"/>
    <x v="7"/>
    <x v="1"/>
    <x v="0"/>
    <x v="0"/>
    <x v="0"/>
    <x v="8"/>
  </r>
  <r>
    <x v="12"/>
    <x v="5"/>
    <x v="7"/>
    <x v="5"/>
    <x v="1"/>
    <x v="1"/>
    <x v="0"/>
    <x v="8"/>
  </r>
  <r>
    <x v="12"/>
    <x v="5"/>
    <x v="7"/>
    <x v="0"/>
    <x v="2"/>
    <x v="5"/>
    <x v="0"/>
    <x v="8"/>
  </r>
  <r>
    <x v="12"/>
    <x v="5"/>
    <x v="7"/>
    <x v="3"/>
    <x v="0"/>
    <x v="0"/>
    <x v="0"/>
    <x v="8"/>
  </r>
  <r>
    <x v="13"/>
    <x v="5"/>
    <x v="8"/>
    <x v="2"/>
    <x v="0"/>
    <x v="0"/>
    <x v="0"/>
    <x v="1"/>
  </r>
  <r>
    <x v="13"/>
    <x v="5"/>
    <x v="8"/>
    <x v="4"/>
    <x v="0"/>
    <x v="0"/>
    <x v="0"/>
    <x v="8"/>
  </r>
  <r>
    <x v="13"/>
    <x v="5"/>
    <x v="8"/>
    <x v="1"/>
    <x v="0"/>
    <x v="0"/>
    <x v="0"/>
    <x v="8"/>
  </r>
  <r>
    <x v="13"/>
    <x v="5"/>
    <x v="8"/>
    <x v="5"/>
    <x v="0"/>
    <x v="0"/>
    <x v="0"/>
    <x v="8"/>
  </r>
  <r>
    <x v="13"/>
    <x v="5"/>
    <x v="8"/>
    <x v="0"/>
    <x v="0"/>
    <x v="0"/>
    <x v="0"/>
    <x v="8"/>
  </r>
  <r>
    <x v="13"/>
    <x v="5"/>
    <x v="8"/>
    <x v="3"/>
    <x v="0"/>
    <x v="0"/>
    <x v="0"/>
    <x v="8"/>
  </r>
  <r>
    <x v="14"/>
    <x v="5"/>
    <x v="9"/>
    <x v="2"/>
    <x v="1"/>
    <x v="0"/>
    <x v="0"/>
    <x v="0"/>
  </r>
  <r>
    <x v="14"/>
    <x v="5"/>
    <x v="9"/>
    <x v="4"/>
    <x v="1"/>
    <x v="0"/>
    <x v="0"/>
    <x v="8"/>
  </r>
  <r>
    <x v="14"/>
    <x v="5"/>
    <x v="9"/>
    <x v="1"/>
    <x v="1"/>
    <x v="0"/>
    <x v="0"/>
    <x v="8"/>
  </r>
  <r>
    <x v="14"/>
    <x v="5"/>
    <x v="9"/>
    <x v="5"/>
    <x v="2"/>
    <x v="0"/>
    <x v="0"/>
    <x v="8"/>
  </r>
  <r>
    <x v="14"/>
    <x v="5"/>
    <x v="9"/>
    <x v="0"/>
    <x v="0"/>
    <x v="1"/>
    <x v="0"/>
    <x v="8"/>
  </r>
  <r>
    <x v="14"/>
    <x v="5"/>
    <x v="9"/>
    <x v="3"/>
    <x v="0"/>
    <x v="0"/>
    <x v="0"/>
    <x v="8"/>
  </r>
  <r>
    <x v="9"/>
    <x v="1"/>
    <x v="0"/>
    <x v="2"/>
    <x v="0"/>
    <x v="0"/>
    <x v="0"/>
    <x v="2"/>
  </r>
  <r>
    <x v="9"/>
    <x v="1"/>
    <x v="0"/>
    <x v="4"/>
    <x v="0"/>
    <x v="0"/>
    <x v="0"/>
    <x v="8"/>
  </r>
  <r>
    <x v="9"/>
    <x v="1"/>
    <x v="0"/>
    <x v="1"/>
    <x v="0"/>
    <x v="0"/>
    <x v="0"/>
    <x v="8"/>
  </r>
  <r>
    <x v="9"/>
    <x v="1"/>
    <x v="0"/>
    <x v="5"/>
    <x v="0"/>
    <x v="0"/>
    <x v="0"/>
    <x v="8"/>
  </r>
  <r>
    <x v="9"/>
    <x v="1"/>
    <x v="0"/>
    <x v="0"/>
    <x v="0"/>
    <x v="2"/>
    <x v="1"/>
    <x v="8"/>
  </r>
  <r>
    <x v="9"/>
    <x v="1"/>
    <x v="0"/>
    <x v="3"/>
    <x v="0"/>
    <x v="0"/>
    <x v="0"/>
    <x v="8"/>
  </r>
  <r>
    <x v="9"/>
    <x v="1"/>
    <x v="1"/>
    <x v="2"/>
    <x v="0"/>
    <x v="0"/>
    <x v="0"/>
    <x v="2"/>
  </r>
  <r>
    <x v="9"/>
    <x v="1"/>
    <x v="1"/>
    <x v="4"/>
    <x v="1"/>
    <x v="0"/>
    <x v="0"/>
    <x v="8"/>
  </r>
  <r>
    <x v="9"/>
    <x v="1"/>
    <x v="1"/>
    <x v="1"/>
    <x v="0"/>
    <x v="0"/>
    <x v="1"/>
    <x v="8"/>
  </r>
  <r>
    <x v="9"/>
    <x v="1"/>
    <x v="1"/>
    <x v="5"/>
    <x v="0"/>
    <x v="1"/>
    <x v="2"/>
    <x v="8"/>
  </r>
  <r>
    <x v="9"/>
    <x v="1"/>
    <x v="1"/>
    <x v="0"/>
    <x v="1"/>
    <x v="4"/>
    <x v="3"/>
    <x v="8"/>
  </r>
  <r>
    <x v="9"/>
    <x v="1"/>
    <x v="1"/>
    <x v="3"/>
    <x v="0"/>
    <x v="0"/>
    <x v="0"/>
    <x v="8"/>
  </r>
  <r>
    <x v="9"/>
    <x v="1"/>
    <x v="2"/>
    <x v="2"/>
    <x v="0"/>
    <x v="0"/>
    <x v="0"/>
    <x v="5"/>
  </r>
  <r>
    <x v="9"/>
    <x v="1"/>
    <x v="2"/>
    <x v="4"/>
    <x v="0"/>
    <x v="0"/>
    <x v="0"/>
    <x v="8"/>
  </r>
  <r>
    <x v="9"/>
    <x v="1"/>
    <x v="2"/>
    <x v="1"/>
    <x v="0"/>
    <x v="0"/>
    <x v="0"/>
    <x v="8"/>
  </r>
  <r>
    <x v="9"/>
    <x v="1"/>
    <x v="2"/>
    <x v="5"/>
    <x v="0"/>
    <x v="0"/>
    <x v="0"/>
    <x v="8"/>
  </r>
  <r>
    <x v="9"/>
    <x v="1"/>
    <x v="2"/>
    <x v="0"/>
    <x v="0"/>
    <x v="0"/>
    <x v="0"/>
    <x v="8"/>
  </r>
  <r>
    <x v="9"/>
    <x v="1"/>
    <x v="2"/>
    <x v="3"/>
    <x v="0"/>
    <x v="0"/>
    <x v="0"/>
    <x v="8"/>
  </r>
  <r>
    <x v="9"/>
    <x v="1"/>
    <x v="3"/>
    <x v="2"/>
    <x v="5"/>
    <x v="0"/>
    <x v="0"/>
    <x v="0"/>
  </r>
  <r>
    <x v="9"/>
    <x v="1"/>
    <x v="3"/>
    <x v="4"/>
    <x v="0"/>
    <x v="0"/>
    <x v="0"/>
    <x v="8"/>
  </r>
  <r>
    <x v="9"/>
    <x v="1"/>
    <x v="3"/>
    <x v="1"/>
    <x v="0"/>
    <x v="0"/>
    <x v="1"/>
    <x v="8"/>
  </r>
  <r>
    <x v="9"/>
    <x v="1"/>
    <x v="3"/>
    <x v="5"/>
    <x v="0"/>
    <x v="0"/>
    <x v="0"/>
    <x v="8"/>
  </r>
  <r>
    <x v="9"/>
    <x v="1"/>
    <x v="3"/>
    <x v="0"/>
    <x v="0"/>
    <x v="1"/>
    <x v="0"/>
    <x v="8"/>
  </r>
  <r>
    <x v="9"/>
    <x v="1"/>
    <x v="3"/>
    <x v="3"/>
    <x v="0"/>
    <x v="0"/>
    <x v="0"/>
    <x v="8"/>
  </r>
  <r>
    <x v="10"/>
    <x v="1"/>
    <x v="4"/>
    <x v="2"/>
    <x v="0"/>
    <x v="0"/>
    <x v="0"/>
    <x v="0"/>
  </r>
  <r>
    <x v="10"/>
    <x v="1"/>
    <x v="4"/>
    <x v="4"/>
    <x v="0"/>
    <x v="0"/>
    <x v="0"/>
    <x v="8"/>
  </r>
  <r>
    <x v="10"/>
    <x v="1"/>
    <x v="4"/>
    <x v="1"/>
    <x v="0"/>
    <x v="0"/>
    <x v="0"/>
    <x v="8"/>
  </r>
  <r>
    <x v="10"/>
    <x v="1"/>
    <x v="4"/>
    <x v="5"/>
    <x v="0"/>
    <x v="0"/>
    <x v="0"/>
    <x v="8"/>
  </r>
  <r>
    <x v="10"/>
    <x v="1"/>
    <x v="4"/>
    <x v="0"/>
    <x v="0"/>
    <x v="3"/>
    <x v="2"/>
    <x v="8"/>
  </r>
  <r>
    <x v="10"/>
    <x v="1"/>
    <x v="4"/>
    <x v="3"/>
    <x v="0"/>
    <x v="0"/>
    <x v="0"/>
    <x v="8"/>
  </r>
  <r>
    <x v="10"/>
    <x v="1"/>
    <x v="5"/>
    <x v="2"/>
    <x v="0"/>
    <x v="0"/>
    <x v="0"/>
    <x v="4"/>
  </r>
  <r>
    <x v="10"/>
    <x v="1"/>
    <x v="5"/>
    <x v="4"/>
    <x v="0"/>
    <x v="0"/>
    <x v="0"/>
    <x v="8"/>
  </r>
  <r>
    <x v="10"/>
    <x v="1"/>
    <x v="5"/>
    <x v="1"/>
    <x v="0"/>
    <x v="0"/>
    <x v="0"/>
    <x v="8"/>
  </r>
  <r>
    <x v="10"/>
    <x v="1"/>
    <x v="5"/>
    <x v="5"/>
    <x v="0"/>
    <x v="1"/>
    <x v="0"/>
    <x v="8"/>
  </r>
  <r>
    <x v="10"/>
    <x v="1"/>
    <x v="5"/>
    <x v="0"/>
    <x v="0"/>
    <x v="0"/>
    <x v="0"/>
    <x v="8"/>
  </r>
  <r>
    <x v="10"/>
    <x v="1"/>
    <x v="5"/>
    <x v="3"/>
    <x v="0"/>
    <x v="0"/>
    <x v="0"/>
    <x v="8"/>
  </r>
  <r>
    <x v="10"/>
    <x v="1"/>
    <x v="6"/>
    <x v="2"/>
    <x v="0"/>
    <x v="0"/>
    <x v="0"/>
    <x v="2"/>
  </r>
  <r>
    <x v="10"/>
    <x v="1"/>
    <x v="6"/>
    <x v="4"/>
    <x v="3"/>
    <x v="0"/>
    <x v="0"/>
    <x v="8"/>
  </r>
  <r>
    <x v="10"/>
    <x v="1"/>
    <x v="6"/>
    <x v="1"/>
    <x v="0"/>
    <x v="0"/>
    <x v="0"/>
    <x v="8"/>
  </r>
  <r>
    <x v="10"/>
    <x v="1"/>
    <x v="6"/>
    <x v="5"/>
    <x v="0"/>
    <x v="0"/>
    <x v="0"/>
    <x v="8"/>
  </r>
  <r>
    <x v="10"/>
    <x v="1"/>
    <x v="6"/>
    <x v="0"/>
    <x v="0"/>
    <x v="3"/>
    <x v="3"/>
    <x v="8"/>
  </r>
  <r>
    <x v="10"/>
    <x v="1"/>
    <x v="6"/>
    <x v="3"/>
    <x v="0"/>
    <x v="0"/>
    <x v="0"/>
    <x v="8"/>
  </r>
  <r>
    <x v="10"/>
    <x v="1"/>
    <x v="7"/>
    <x v="2"/>
    <x v="0"/>
    <x v="0"/>
    <x v="0"/>
    <x v="2"/>
  </r>
  <r>
    <x v="10"/>
    <x v="1"/>
    <x v="7"/>
    <x v="4"/>
    <x v="1"/>
    <x v="0"/>
    <x v="0"/>
    <x v="8"/>
  </r>
  <r>
    <x v="10"/>
    <x v="1"/>
    <x v="7"/>
    <x v="1"/>
    <x v="0"/>
    <x v="0"/>
    <x v="0"/>
    <x v="8"/>
  </r>
  <r>
    <x v="10"/>
    <x v="1"/>
    <x v="7"/>
    <x v="5"/>
    <x v="0"/>
    <x v="0"/>
    <x v="1"/>
    <x v="8"/>
  </r>
  <r>
    <x v="10"/>
    <x v="1"/>
    <x v="7"/>
    <x v="0"/>
    <x v="2"/>
    <x v="3"/>
    <x v="1"/>
    <x v="8"/>
  </r>
  <r>
    <x v="10"/>
    <x v="1"/>
    <x v="7"/>
    <x v="3"/>
    <x v="2"/>
    <x v="0"/>
    <x v="0"/>
    <x v="8"/>
  </r>
  <r>
    <x v="10"/>
    <x v="1"/>
    <x v="8"/>
    <x v="2"/>
    <x v="0"/>
    <x v="0"/>
    <x v="0"/>
    <x v="0"/>
  </r>
  <r>
    <x v="10"/>
    <x v="1"/>
    <x v="8"/>
    <x v="4"/>
    <x v="0"/>
    <x v="0"/>
    <x v="0"/>
    <x v="8"/>
  </r>
  <r>
    <x v="10"/>
    <x v="1"/>
    <x v="8"/>
    <x v="1"/>
    <x v="0"/>
    <x v="0"/>
    <x v="0"/>
    <x v="8"/>
  </r>
  <r>
    <x v="10"/>
    <x v="1"/>
    <x v="8"/>
    <x v="5"/>
    <x v="0"/>
    <x v="0"/>
    <x v="0"/>
    <x v="8"/>
  </r>
  <r>
    <x v="10"/>
    <x v="1"/>
    <x v="8"/>
    <x v="0"/>
    <x v="1"/>
    <x v="2"/>
    <x v="2"/>
    <x v="8"/>
  </r>
  <r>
    <x v="10"/>
    <x v="1"/>
    <x v="8"/>
    <x v="3"/>
    <x v="0"/>
    <x v="0"/>
    <x v="0"/>
    <x v="8"/>
  </r>
  <r>
    <x v="10"/>
    <x v="1"/>
    <x v="9"/>
    <x v="2"/>
    <x v="0"/>
    <x v="0"/>
    <x v="0"/>
    <x v="0"/>
  </r>
  <r>
    <x v="10"/>
    <x v="1"/>
    <x v="9"/>
    <x v="4"/>
    <x v="0"/>
    <x v="0"/>
    <x v="0"/>
    <x v="8"/>
  </r>
  <r>
    <x v="10"/>
    <x v="1"/>
    <x v="9"/>
    <x v="1"/>
    <x v="0"/>
    <x v="0"/>
    <x v="0"/>
    <x v="8"/>
  </r>
  <r>
    <x v="10"/>
    <x v="1"/>
    <x v="9"/>
    <x v="5"/>
    <x v="0"/>
    <x v="1"/>
    <x v="1"/>
    <x v="8"/>
  </r>
  <r>
    <x v="10"/>
    <x v="1"/>
    <x v="9"/>
    <x v="0"/>
    <x v="0"/>
    <x v="6"/>
    <x v="6"/>
    <x v="8"/>
  </r>
  <r>
    <x v="10"/>
    <x v="1"/>
    <x v="9"/>
    <x v="3"/>
    <x v="0"/>
    <x v="0"/>
    <x v="0"/>
    <x v="8"/>
  </r>
  <r>
    <x v="7"/>
    <x v="4"/>
    <x v="0"/>
    <x v="2"/>
    <x v="0"/>
    <x v="0"/>
    <x v="0"/>
    <x v="0"/>
  </r>
  <r>
    <x v="7"/>
    <x v="4"/>
    <x v="0"/>
    <x v="4"/>
    <x v="5"/>
    <x v="0"/>
    <x v="0"/>
    <x v="8"/>
  </r>
  <r>
    <x v="7"/>
    <x v="4"/>
    <x v="0"/>
    <x v="1"/>
    <x v="1"/>
    <x v="0"/>
    <x v="0"/>
    <x v="8"/>
  </r>
  <r>
    <x v="7"/>
    <x v="4"/>
    <x v="0"/>
    <x v="5"/>
    <x v="0"/>
    <x v="0"/>
    <x v="2"/>
    <x v="8"/>
  </r>
  <r>
    <x v="7"/>
    <x v="4"/>
    <x v="0"/>
    <x v="0"/>
    <x v="3"/>
    <x v="3"/>
    <x v="3"/>
    <x v="8"/>
  </r>
  <r>
    <x v="7"/>
    <x v="4"/>
    <x v="0"/>
    <x v="3"/>
    <x v="0"/>
    <x v="0"/>
    <x v="0"/>
    <x v="8"/>
  </r>
  <r>
    <x v="7"/>
    <x v="4"/>
    <x v="1"/>
    <x v="2"/>
    <x v="0"/>
    <x v="0"/>
    <x v="0"/>
    <x v="0"/>
  </r>
  <r>
    <x v="7"/>
    <x v="4"/>
    <x v="1"/>
    <x v="4"/>
    <x v="10"/>
    <x v="1"/>
    <x v="0"/>
    <x v="8"/>
  </r>
  <r>
    <x v="7"/>
    <x v="4"/>
    <x v="1"/>
    <x v="1"/>
    <x v="0"/>
    <x v="0"/>
    <x v="0"/>
    <x v="8"/>
  </r>
  <r>
    <x v="7"/>
    <x v="4"/>
    <x v="1"/>
    <x v="5"/>
    <x v="0"/>
    <x v="2"/>
    <x v="1"/>
    <x v="8"/>
  </r>
  <r>
    <x v="7"/>
    <x v="4"/>
    <x v="1"/>
    <x v="0"/>
    <x v="0"/>
    <x v="1"/>
    <x v="2"/>
    <x v="8"/>
  </r>
  <r>
    <x v="7"/>
    <x v="4"/>
    <x v="1"/>
    <x v="3"/>
    <x v="0"/>
    <x v="0"/>
    <x v="0"/>
    <x v="8"/>
  </r>
  <r>
    <x v="7"/>
    <x v="4"/>
    <x v="2"/>
    <x v="2"/>
    <x v="13"/>
    <x v="0"/>
    <x v="0"/>
    <x v="0"/>
  </r>
  <r>
    <x v="7"/>
    <x v="4"/>
    <x v="2"/>
    <x v="4"/>
    <x v="2"/>
    <x v="0"/>
    <x v="0"/>
    <x v="8"/>
  </r>
  <r>
    <x v="7"/>
    <x v="4"/>
    <x v="2"/>
    <x v="1"/>
    <x v="0"/>
    <x v="0"/>
    <x v="0"/>
    <x v="8"/>
  </r>
  <r>
    <x v="7"/>
    <x v="4"/>
    <x v="2"/>
    <x v="5"/>
    <x v="0"/>
    <x v="0"/>
    <x v="0"/>
    <x v="8"/>
  </r>
  <r>
    <x v="7"/>
    <x v="4"/>
    <x v="2"/>
    <x v="0"/>
    <x v="3"/>
    <x v="5"/>
    <x v="4"/>
    <x v="8"/>
  </r>
  <r>
    <x v="7"/>
    <x v="4"/>
    <x v="2"/>
    <x v="3"/>
    <x v="0"/>
    <x v="0"/>
    <x v="0"/>
    <x v="8"/>
  </r>
  <r>
    <x v="7"/>
    <x v="4"/>
    <x v="3"/>
    <x v="2"/>
    <x v="6"/>
    <x v="0"/>
    <x v="0"/>
    <x v="0"/>
  </r>
  <r>
    <x v="7"/>
    <x v="4"/>
    <x v="3"/>
    <x v="4"/>
    <x v="4"/>
    <x v="0"/>
    <x v="0"/>
    <x v="8"/>
  </r>
  <r>
    <x v="7"/>
    <x v="4"/>
    <x v="3"/>
    <x v="1"/>
    <x v="0"/>
    <x v="0"/>
    <x v="0"/>
    <x v="8"/>
  </r>
  <r>
    <x v="7"/>
    <x v="4"/>
    <x v="3"/>
    <x v="5"/>
    <x v="0"/>
    <x v="0"/>
    <x v="0"/>
    <x v="8"/>
  </r>
  <r>
    <x v="7"/>
    <x v="4"/>
    <x v="3"/>
    <x v="0"/>
    <x v="2"/>
    <x v="0"/>
    <x v="5"/>
    <x v="8"/>
  </r>
  <r>
    <x v="7"/>
    <x v="4"/>
    <x v="3"/>
    <x v="3"/>
    <x v="0"/>
    <x v="0"/>
    <x v="0"/>
    <x v="8"/>
  </r>
  <r>
    <x v="8"/>
    <x v="4"/>
    <x v="4"/>
    <x v="2"/>
    <x v="12"/>
    <x v="0"/>
    <x v="0"/>
    <x v="3"/>
  </r>
  <r>
    <x v="8"/>
    <x v="4"/>
    <x v="4"/>
    <x v="4"/>
    <x v="7"/>
    <x v="0"/>
    <x v="0"/>
    <x v="8"/>
  </r>
  <r>
    <x v="8"/>
    <x v="4"/>
    <x v="4"/>
    <x v="1"/>
    <x v="0"/>
    <x v="0"/>
    <x v="0"/>
    <x v="8"/>
  </r>
  <r>
    <x v="8"/>
    <x v="4"/>
    <x v="4"/>
    <x v="5"/>
    <x v="0"/>
    <x v="0"/>
    <x v="0"/>
    <x v="8"/>
  </r>
  <r>
    <x v="8"/>
    <x v="4"/>
    <x v="4"/>
    <x v="0"/>
    <x v="1"/>
    <x v="5"/>
    <x v="6"/>
    <x v="8"/>
  </r>
  <r>
    <x v="8"/>
    <x v="4"/>
    <x v="4"/>
    <x v="3"/>
    <x v="0"/>
    <x v="0"/>
    <x v="0"/>
    <x v="8"/>
  </r>
  <r>
    <x v="8"/>
    <x v="4"/>
    <x v="5"/>
    <x v="2"/>
    <x v="10"/>
    <x v="0"/>
    <x v="0"/>
    <x v="2"/>
  </r>
  <r>
    <x v="8"/>
    <x v="4"/>
    <x v="5"/>
    <x v="4"/>
    <x v="5"/>
    <x v="0"/>
    <x v="0"/>
    <x v="8"/>
  </r>
  <r>
    <x v="8"/>
    <x v="4"/>
    <x v="5"/>
    <x v="1"/>
    <x v="0"/>
    <x v="0"/>
    <x v="0"/>
    <x v="8"/>
  </r>
  <r>
    <x v="8"/>
    <x v="4"/>
    <x v="5"/>
    <x v="5"/>
    <x v="1"/>
    <x v="0"/>
    <x v="0"/>
    <x v="8"/>
  </r>
  <r>
    <x v="8"/>
    <x v="4"/>
    <x v="5"/>
    <x v="0"/>
    <x v="0"/>
    <x v="0"/>
    <x v="0"/>
    <x v="8"/>
  </r>
  <r>
    <x v="8"/>
    <x v="4"/>
    <x v="5"/>
    <x v="3"/>
    <x v="0"/>
    <x v="0"/>
    <x v="0"/>
    <x v="8"/>
  </r>
  <r>
    <x v="8"/>
    <x v="4"/>
    <x v="6"/>
    <x v="2"/>
    <x v="13"/>
    <x v="0"/>
    <x v="0"/>
    <x v="6"/>
  </r>
  <r>
    <x v="8"/>
    <x v="4"/>
    <x v="6"/>
    <x v="4"/>
    <x v="7"/>
    <x v="0"/>
    <x v="0"/>
    <x v="8"/>
  </r>
  <r>
    <x v="8"/>
    <x v="4"/>
    <x v="6"/>
    <x v="1"/>
    <x v="0"/>
    <x v="3"/>
    <x v="4"/>
    <x v="8"/>
  </r>
  <r>
    <x v="8"/>
    <x v="4"/>
    <x v="6"/>
    <x v="5"/>
    <x v="1"/>
    <x v="2"/>
    <x v="0"/>
    <x v="8"/>
  </r>
  <r>
    <x v="8"/>
    <x v="4"/>
    <x v="6"/>
    <x v="0"/>
    <x v="0"/>
    <x v="0"/>
    <x v="0"/>
    <x v="8"/>
  </r>
  <r>
    <x v="8"/>
    <x v="4"/>
    <x v="6"/>
    <x v="3"/>
    <x v="0"/>
    <x v="0"/>
    <x v="0"/>
    <x v="8"/>
  </r>
  <r>
    <x v="8"/>
    <x v="4"/>
    <x v="7"/>
    <x v="2"/>
    <x v="3"/>
    <x v="0"/>
    <x v="0"/>
    <x v="7"/>
  </r>
  <r>
    <x v="8"/>
    <x v="4"/>
    <x v="7"/>
    <x v="4"/>
    <x v="8"/>
    <x v="2"/>
    <x v="0"/>
    <x v="8"/>
  </r>
  <r>
    <x v="8"/>
    <x v="4"/>
    <x v="7"/>
    <x v="1"/>
    <x v="1"/>
    <x v="0"/>
    <x v="0"/>
    <x v="8"/>
  </r>
  <r>
    <x v="8"/>
    <x v="4"/>
    <x v="7"/>
    <x v="5"/>
    <x v="1"/>
    <x v="1"/>
    <x v="0"/>
    <x v="8"/>
  </r>
  <r>
    <x v="8"/>
    <x v="4"/>
    <x v="7"/>
    <x v="0"/>
    <x v="1"/>
    <x v="0"/>
    <x v="5"/>
    <x v="8"/>
  </r>
  <r>
    <x v="8"/>
    <x v="4"/>
    <x v="7"/>
    <x v="3"/>
    <x v="0"/>
    <x v="0"/>
    <x v="0"/>
    <x v="8"/>
  </r>
  <r>
    <x v="8"/>
    <x v="4"/>
    <x v="8"/>
    <x v="2"/>
    <x v="11"/>
    <x v="0"/>
    <x v="0"/>
    <x v="1"/>
  </r>
  <r>
    <x v="8"/>
    <x v="4"/>
    <x v="8"/>
    <x v="4"/>
    <x v="2"/>
    <x v="0"/>
    <x v="0"/>
    <x v="8"/>
  </r>
  <r>
    <x v="8"/>
    <x v="4"/>
    <x v="8"/>
    <x v="1"/>
    <x v="0"/>
    <x v="0"/>
    <x v="0"/>
    <x v="8"/>
  </r>
  <r>
    <x v="8"/>
    <x v="4"/>
    <x v="8"/>
    <x v="5"/>
    <x v="0"/>
    <x v="0"/>
    <x v="0"/>
    <x v="8"/>
  </r>
  <r>
    <x v="8"/>
    <x v="4"/>
    <x v="8"/>
    <x v="0"/>
    <x v="0"/>
    <x v="0"/>
    <x v="2"/>
    <x v="8"/>
  </r>
  <r>
    <x v="8"/>
    <x v="4"/>
    <x v="8"/>
    <x v="3"/>
    <x v="5"/>
    <x v="0"/>
    <x v="0"/>
    <x v="8"/>
  </r>
  <r>
    <x v="8"/>
    <x v="4"/>
    <x v="9"/>
    <x v="2"/>
    <x v="15"/>
    <x v="0"/>
    <x v="0"/>
    <x v="0"/>
  </r>
  <r>
    <x v="8"/>
    <x v="4"/>
    <x v="9"/>
    <x v="4"/>
    <x v="1"/>
    <x v="2"/>
    <x v="0"/>
    <x v="8"/>
  </r>
  <r>
    <x v="8"/>
    <x v="4"/>
    <x v="9"/>
    <x v="1"/>
    <x v="0"/>
    <x v="0"/>
    <x v="0"/>
    <x v="8"/>
  </r>
  <r>
    <x v="8"/>
    <x v="4"/>
    <x v="9"/>
    <x v="5"/>
    <x v="0"/>
    <x v="0"/>
    <x v="0"/>
    <x v="8"/>
  </r>
  <r>
    <x v="8"/>
    <x v="4"/>
    <x v="9"/>
    <x v="0"/>
    <x v="0"/>
    <x v="0"/>
    <x v="0"/>
    <x v="8"/>
  </r>
  <r>
    <x v="8"/>
    <x v="4"/>
    <x v="9"/>
    <x v="3"/>
    <x v="0"/>
    <x v="0"/>
    <x v="0"/>
    <x v="8"/>
  </r>
  <r>
    <x v="3"/>
    <x v="0"/>
    <x v="0"/>
    <x v="2"/>
    <x v="13"/>
    <x v="0"/>
    <x v="0"/>
    <x v="0"/>
  </r>
  <r>
    <x v="3"/>
    <x v="0"/>
    <x v="0"/>
    <x v="4"/>
    <x v="3"/>
    <x v="0"/>
    <x v="0"/>
    <x v="8"/>
  </r>
  <r>
    <x v="3"/>
    <x v="0"/>
    <x v="0"/>
    <x v="1"/>
    <x v="0"/>
    <x v="1"/>
    <x v="0"/>
    <x v="8"/>
  </r>
  <r>
    <x v="3"/>
    <x v="0"/>
    <x v="0"/>
    <x v="5"/>
    <x v="2"/>
    <x v="0"/>
    <x v="0"/>
    <x v="8"/>
  </r>
  <r>
    <x v="3"/>
    <x v="0"/>
    <x v="0"/>
    <x v="0"/>
    <x v="7"/>
    <x v="3"/>
    <x v="0"/>
    <x v="8"/>
  </r>
  <r>
    <x v="3"/>
    <x v="0"/>
    <x v="0"/>
    <x v="3"/>
    <x v="4"/>
    <x v="0"/>
    <x v="0"/>
    <x v="8"/>
  </r>
  <r>
    <x v="3"/>
    <x v="0"/>
    <x v="1"/>
    <x v="2"/>
    <x v="5"/>
    <x v="0"/>
    <x v="0"/>
    <x v="2"/>
  </r>
  <r>
    <x v="3"/>
    <x v="0"/>
    <x v="1"/>
    <x v="4"/>
    <x v="6"/>
    <x v="0"/>
    <x v="0"/>
    <x v="8"/>
  </r>
  <r>
    <x v="3"/>
    <x v="0"/>
    <x v="1"/>
    <x v="1"/>
    <x v="1"/>
    <x v="1"/>
    <x v="0"/>
    <x v="8"/>
  </r>
  <r>
    <x v="3"/>
    <x v="0"/>
    <x v="1"/>
    <x v="5"/>
    <x v="4"/>
    <x v="0"/>
    <x v="2"/>
    <x v="8"/>
  </r>
  <r>
    <x v="3"/>
    <x v="0"/>
    <x v="1"/>
    <x v="0"/>
    <x v="1"/>
    <x v="7"/>
    <x v="2"/>
    <x v="8"/>
  </r>
  <r>
    <x v="3"/>
    <x v="0"/>
    <x v="1"/>
    <x v="3"/>
    <x v="0"/>
    <x v="0"/>
    <x v="0"/>
    <x v="8"/>
  </r>
  <r>
    <x v="4"/>
    <x v="0"/>
    <x v="2"/>
    <x v="2"/>
    <x v="12"/>
    <x v="0"/>
    <x v="0"/>
    <x v="0"/>
  </r>
  <r>
    <x v="4"/>
    <x v="0"/>
    <x v="2"/>
    <x v="4"/>
    <x v="11"/>
    <x v="0"/>
    <x v="0"/>
    <x v="8"/>
  </r>
  <r>
    <x v="4"/>
    <x v="0"/>
    <x v="2"/>
    <x v="1"/>
    <x v="0"/>
    <x v="0"/>
    <x v="0"/>
    <x v="8"/>
  </r>
  <r>
    <x v="4"/>
    <x v="0"/>
    <x v="2"/>
    <x v="5"/>
    <x v="1"/>
    <x v="0"/>
    <x v="4"/>
    <x v="8"/>
  </r>
  <r>
    <x v="4"/>
    <x v="0"/>
    <x v="2"/>
    <x v="0"/>
    <x v="4"/>
    <x v="7"/>
    <x v="5"/>
    <x v="8"/>
  </r>
  <r>
    <x v="4"/>
    <x v="0"/>
    <x v="2"/>
    <x v="3"/>
    <x v="0"/>
    <x v="0"/>
    <x v="0"/>
    <x v="8"/>
  </r>
  <r>
    <x v="4"/>
    <x v="0"/>
    <x v="3"/>
    <x v="2"/>
    <x v="13"/>
    <x v="0"/>
    <x v="0"/>
    <x v="0"/>
  </r>
  <r>
    <x v="4"/>
    <x v="0"/>
    <x v="3"/>
    <x v="4"/>
    <x v="6"/>
    <x v="0"/>
    <x v="0"/>
    <x v="8"/>
  </r>
  <r>
    <x v="4"/>
    <x v="0"/>
    <x v="3"/>
    <x v="1"/>
    <x v="3"/>
    <x v="1"/>
    <x v="0"/>
    <x v="8"/>
  </r>
  <r>
    <x v="4"/>
    <x v="0"/>
    <x v="3"/>
    <x v="5"/>
    <x v="1"/>
    <x v="0"/>
    <x v="0"/>
    <x v="8"/>
  </r>
  <r>
    <x v="4"/>
    <x v="0"/>
    <x v="3"/>
    <x v="0"/>
    <x v="2"/>
    <x v="1"/>
    <x v="1"/>
    <x v="8"/>
  </r>
  <r>
    <x v="4"/>
    <x v="0"/>
    <x v="3"/>
    <x v="3"/>
    <x v="3"/>
    <x v="0"/>
    <x v="0"/>
    <x v="8"/>
  </r>
  <r>
    <x v="4"/>
    <x v="0"/>
    <x v="4"/>
    <x v="2"/>
    <x v="16"/>
    <x v="0"/>
    <x v="0"/>
    <x v="0"/>
  </r>
  <r>
    <x v="4"/>
    <x v="0"/>
    <x v="4"/>
    <x v="4"/>
    <x v="9"/>
    <x v="0"/>
    <x v="0"/>
    <x v="8"/>
  </r>
  <r>
    <x v="4"/>
    <x v="0"/>
    <x v="4"/>
    <x v="1"/>
    <x v="0"/>
    <x v="1"/>
    <x v="0"/>
    <x v="8"/>
  </r>
  <r>
    <x v="4"/>
    <x v="0"/>
    <x v="4"/>
    <x v="5"/>
    <x v="0"/>
    <x v="0"/>
    <x v="0"/>
    <x v="8"/>
  </r>
  <r>
    <x v="4"/>
    <x v="0"/>
    <x v="4"/>
    <x v="0"/>
    <x v="1"/>
    <x v="3"/>
    <x v="2"/>
    <x v="8"/>
  </r>
  <r>
    <x v="4"/>
    <x v="0"/>
    <x v="4"/>
    <x v="3"/>
    <x v="0"/>
    <x v="0"/>
    <x v="0"/>
    <x v="8"/>
  </r>
  <r>
    <x v="5"/>
    <x v="0"/>
    <x v="5"/>
    <x v="2"/>
    <x v="1"/>
    <x v="0"/>
    <x v="0"/>
    <x v="0"/>
  </r>
  <r>
    <x v="5"/>
    <x v="0"/>
    <x v="5"/>
    <x v="4"/>
    <x v="6"/>
    <x v="0"/>
    <x v="0"/>
    <x v="8"/>
  </r>
  <r>
    <x v="5"/>
    <x v="0"/>
    <x v="5"/>
    <x v="1"/>
    <x v="0"/>
    <x v="0"/>
    <x v="0"/>
    <x v="8"/>
  </r>
  <r>
    <x v="5"/>
    <x v="0"/>
    <x v="5"/>
    <x v="5"/>
    <x v="4"/>
    <x v="9"/>
    <x v="4"/>
    <x v="8"/>
  </r>
  <r>
    <x v="5"/>
    <x v="0"/>
    <x v="5"/>
    <x v="0"/>
    <x v="0"/>
    <x v="4"/>
    <x v="5"/>
    <x v="8"/>
  </r>
  <r>
    <x v="5"/>
    <x v="0"/>
    <x v="5"/>
    <x v="3"/>
    <x v="0"/>
    <x v="0"/>
    <x v="0"/>
    <x v="8"/>
  </r>
  <r>
    <x v="5"/>
    <x v="0"/>
    <x v="6"/>
    <x v="2"/>
    <x v="17"/>
    <x v="3"/>
    <x v="0"/>
    <x v="2"/>
  </r>
  <r>
    <x v="5"/>
    <x v="0"/>
    <x v="6"/>
    <x v="4"/>
    <x v="12"/>
    <x v="0"/>
    <x v="0"/>
    <x v="8"/>
  </r>
  <r>
    <x v="5"/>
    <x v="0"/>
    <x v="6"/>
    <x v="1"/>
    <x v="0"/>
    <x v="0"/>
    <x v="0"/>
    <x v="8"/>
  </r>
  <r>
    <x v="5"/>
    <x v="0"/>
    <x v="6"/>
    <x v="5"/>
    <x v="0"/>
    <x v="0"/>
    <x v="0"/>
    <x v="8"/>
  </r>
  <r>
    <x v="5"/>
    <x v="0"/>
    <x v="6"/>
    <x v="0"/>
    <x v="0"/>
    <x v="6"/>
    <x v="7"/>
    <x v="8"/>
  </r>
  <r>
    <x v="5"/>
    <x v="0"/>
    <x v="6"/>
    <x v="3"/>
    <x v="0"/>
    <x v="0"/>
    <x v="0"/>
    <x v="8"/>
  </r>
  <r>
    <x v="4"/>
    <x v="0"/>
    <x v="7"/>
    <x v="2"/>
    <x v="11"/>
    <x v="0"/>
    <x v="0"/>
    <x v="1"/>
  </r>
  <r>
    <x v="4"/>
    <x v="0"/>
    <x v="7"/>
    <x v="4"/>
    <x v="7"/>
    <x v="0"/>
    <x v="0"/>
    <x v="8"/>
  </r>
  <r>
    <x v="4"/>
    <x v="0"/>
    <x v="7"/>
    <x v="1"/>
    <x v="0"/>
    <x v="0"/>
    <x v="0"/>
    <x v="8"/>
  </r>
  <r>
    <x v="4"/>
    <x v="0"/>
    <x v="7"/>
    <x v="5"/>
    <x v="0"/>
    <x v="0"/>
    <x v="2"/>
    <x v="8"/>
  </r>
  <r>
    <x v="4"/>
    <x v="0"/>
    <x v="7"/>
    <x v="0"/>
    <x v="1"/>
    <x v="0"/>
    <x v="4"/>
    <x v="8"/>
  </r>
  <r>
    <x v="4"/>
    <x v="0"/>
    <x v="7"/>
    <x v="3"/>
    <x v="0"/>
    <x v="0"/>
    <x v="0"/>
    <x v="8"/>
  </r>
  <r>
    <x v="4"/>
    <x v="0"/>
    <x v="8"/>
    <x v="2"/>
    <x v="10"/>
    <x v="0"/>
    <x v="0"/>
    <x v="0"/>
  </r>
  <r>
    <x v="4"/>
    <x v="0"/>
    <x v="8"/>
    <x v="4"/>
    <x v="22"/>
    <x v="0"/>
    <x v="0"/>
    <x v="8"/>
  </r>
  <r>
    <x v="4"/>
    <x v="0"/>
    <x v="8"/>
    <x v="1"/>
    <x v="0"/>
    <x v="0"/>
    <x v="0"/>
    <x v="8"/>
  </r>
  <r>
    <x v="4"/>
    <x v="0"/>
    <x v="8"/>
    <x v="5"/>
    <x v="1"/>
    <x v="0"/>
    <x v="0"/>
    <x v="8"/>
  </r>
  <r>
    <x v="4"/>
    <x v="0"/>
    <x v="8"/>
    <x v="0"/>
    <x v="3"/>
    <x v="8"/>
    <x v="5"/>
    <x v="8"/>
  </r>
  <r>
    <x v="4"/>
    <x v="0"/>
    <x v="8"/>
    <x v="3"/>
    <x v="0"/>
    <x v="0"/>
    <x v="0"/>
    <x v="8"/>
  </r>
  <r>
    <x v="6"/>
    <x v="0"/>
    <x v="9"/>
    <x v="2"/>
    <x v="6"/>
    <x v="0"/>
    <x v="0"/>
    <x v="0"/>
  </r>
  <r>
    <x v="6"/>
    <x v="0"/>
    <x v="9"/>
    <x v="4"/>
    <x v="20"/>
    <x v="0"/>
    <x v="0"/>
    <x v="8"/>
  </r>
  <r>
    <x v="6"/>
    <x v="0"/>
    <x v="9"/>
    <x v="1"/>
    <x v="0"/>
    <x v="0"/>
    <x v="0"/>
    <x v="8"/>
  </r>
  <r>
    <x v="6"/>
    <x v="0"/>
    <x v="9"/>
    <x v="5"/>
    <x v="0"/>
    <x v="0"/>
    <x v="0"/>
    <x v="8"/>
  </r>
  <r>
    <x v="6"/>
    <x v="0"/>
    <x v="9"/>
    <x v="0"/>
    <x v="2"/>
    <x v="3"/>
    <x v="10"/>
    <x v="8"/>
  </r>
  <r>
    <x v="6"/>
    <x v="0"/>
    <x v="9"/>
    <x v="3"/>
    <x v="0"/>
    <x v="0"/>
    <x v="0"/>
    <x v="8"/>
  </r>
  <r>
    <x v="0"/>
    <x v="3"/>
    <x v="0"/>
    <x v="2"/>
    <x v="9"/>
    <x v="0"/>
    <x v="0"/>
    <x v="0"/>
  </r>
  <r>
    <x v="0"/>
    <x v="3"/>
    <x v="0"/>
    <x v="4"/>
    <x v="21"/>
    <x v="0"/>
    <x v="0"/>
    <x v="8"/>
  </r>
  <r>
    <x v="0"/>
    <x v="3"/>
    <x v="0"/>
    <x v="1"/>
    <x v="0"/>
    <x v="2"/>
    <x v="1"/>
    <x v="8"/>
  </r>
  <r>
    <x v="0"/>
    <x v="3"/>
    <x v="0"/>
    <x v="5"/>
    <x v="0"/>
    <x v="2"/>
    <x v="6"/>
    <x v="8"/>
  </r>
  <r>
    <x v="0"/>
    <x v="3"/>
    <x v="0"/>
    <x v="0"/>
    <x v="4"/>
    <x v="6"/>
    <x v="4"/>
    <x v="8"/>
  </r>
  <r>
    <x v="0"/>
    <x v="3"/>
    <x v="0"/>
    <x v="3"/>
    <x v="0"/>
    <x v="0"/>
    <x v="0"/>
    <x v="8"/>
  </r>
  <r>
    <x v="0"/>
    <x v="3"/>
    <x v="1"/>
    <x v="2"/>
    <x v="24"/>
    <x v="1"/>
    <x v="0"/>
    <x v="1"/>
  </r>
  <r>
    <x v="0"/>
    <x v="3"/>
    <x v="1"/>
    <x v="4"/>
    <x v="18"/>
    <x v="0"/>
    <x v="0"/>
    <x v="8"/>
  </r>
  <r>
    <x v="0"/>
    <x v="3"/>
    <x v="1"/>
    <x v="1"/>
    <x v="1"/>
    <x v="0"/>
    <x v="0"/>
    <x v="8"/>
  </r>
  <r>
    <x v="0"/>
    <x v="3"/>
    <x v="1"/>
    <x v="5"/>
    <x v="0"/>
    <x v="1"/>
    <x v="0"/>
    <x v="8"/>
  </r>
  <r>
    <x v="0"/>
    <x v="3"/>
    <x v="1"/>
    <x v="0"/>
    <x v="7"/>
    <x v="1"/>
    <x v="1"/>
    <x v="8"/>
  </r>
  <r>
    <x v="0"/>
    <x v="3"/>
    <x v="1"/>
    <x v="3"/>
    <x v="0"/>
    <x v="0"/>
    <x v="0"/>
    <x v="8"/>
  </r>
  <r>
    <x v="0"/>
    <x v="3"/>
    <x v="2"/>
    <x v="2"/>
    <x v="14"/>
    <x v="0"/>
    <x v="0"/>
    <x v="0"/>
  </r>
  <r>
    <x v="0"/>
    <x v="3"/>
    <x v="2"/>
    <x v="4"/>
    <x v="9"/>
    <x v="0"/>
    <x v="0"/>
    <x v="8"/>
  </r>
  <r>
    <x v="0"/>
    <x v="3"/>
    <x v="2"/>
    <x v="1"/>
    <x v="1"/>
    <x v="5"/>
    <x v="0"/>
    <x v="8"/>
  </r>
  <r>
    <x v="0"/>
    <x v="3"/>
    <x v="2"/>
    <x v="5"/>
    <x v="4"/>
    <x v="2"/>
    <x v="1"/>
    <x v="8"/>
  </r>
  <r>
    <x v="0"/>
    <x v="3"/>
    <x v="2"/>
    <x v="0"/>
    <x v="4"/>
    <x v="4"/>
    <x v="3"/>
    <x v="8"/>
  </r>
  <r>
    <x v="0"/>
    <x v="3"/>
    <x v="2"/>
    <x v="3"/>
    <x v="0"/>
    <x v="0"/>
    <x v="0"/>
    <x v="8"/>
  </r>
  <r>
    <x v="0"/>
    <x v="3"/>
    <x v="3"/>
    <x v="2"/>
    <x v="7"/>
    <x v="0"/>
    <x v="0"/>
    <x v="0"/>
  </r>
  <r>
    <x v="0"/>
    <x v="3"/>
    <x v="3"/>
    <x v="4"/>
    <x v="19"/>
    <x v="7"/>
    <x v="0"/>
    <x v="8"/>
  </r>
  <r>
    <x v="0"/>
    <x v="3"/>
    <x v="3"/>
    <x v="1"/>
    <x v="0"/>
    <x v="0"/>
    <x v="2"/>
    <x v="8"/>
  </r>
  <r>
    <x v="0"/>
    <x v="3"/>
    <x v="3"/>
    <x v="5"/>
    <x v="0"/>
    <x v="0"/>
    <x v="0"/>
    <x v="8"/>
  </r>
  <r>
    <x v="0"/>
    <x v="3"/>
    <x v="3"/>
    <x v="0"/>
    <x v="0"/>
    <x v="0"/>
    <x v="6"/>
    <x v="8"/>
  </r>
  <r>
    <x v="0"/>
    <x v="3"/>
    <x v="3"/>
    <x v="3"/>
    <x v="0"/>
    <x v="0"/>
    <x v="0"/>
    <x v="8"/>
  </r>
  <r>
    <x v="1"/>
    <x v="3"/>
    <x v="4"/>
    <x v="2"/>
    <x v="10"/>
    <x v="0"/>
    <x v="0"/>
    <x v="0"/>
  </r>
  <r>
    <x v="1"/>
    <x v="3"/>
    <x v="4"/>
    <x v="4"/>
    <x v="26"/>
    <x v="0"/>
    <x v="0"/>
    <x v="8"/>
  </r>
  <r>
    <x v="1"/>
    <x v="3"/>
    <x v="4"/>
    <x v="1"/>
    <x v="1"/>
    <x v="2"/>
    <x v="0"/>
    <x v="8"/>
  </r>
  <r>
    <x v="1"/>
    <x v="3"/>
    <x v="4"/>
    <x v="5"/>
    <x v="9"/>
    <x v="1"/>
    <x v="0"/>
    <x v="8"/>
  </r>
  <r>
    <x v="1"/>
    <x v="3"/>
    <x v="4"/>
    <x v="0"/>
    <x v="4"/>
    <x v="0"/>
    <x v="12"/>
    <x v="8"/>
  </r>
  <r>
    <x v="1"/>
    <x v="3"/>
    <x v="4"/>
    <x v="3"/>
    <x v="0"/>
    <x v="0"/>
    <x v="0"/>
    <x v="8"/>
  </r>
  <r>
    <x v="1"/>
    <x v="3"/>
    <x v="5"/>
    <x v="2"/>
    <x v="5"/>
    <x v="0"/>
    <x v="0"/>
    <x v="0"/>
  </r>
  <r>
    <x v="1"/>
    <x v="3"/>
    <x v="5"/>
    <x v="4"/>
    <x v="13"/>
    <x v="0"/>
    <x v="0"/>
    <x v="8"/>
  </r>
  <r>
    <x v="1"/>
    <x v="3"/>
    <x v="5"/>
    <x v="1"/>
    <x v="2"/>
    <x v="2"/>
    <x v="0"/>
    <x v="8"/>
  </r>
  <r>
    <x v="1"/>
    <x v="3"/>
    <x v="5"/>
    <x v="5"/>
    <x v="0"/>
    <x v="1"/>
    <x v="3"/>
    <x v="8"/>
  </r>
  <r>
    <x v="1"/>
    <x v="3"/>
    <x v="5"/>
    <x v="0"/>
    <x v="0"/>
    <x v="1"/>
    <x v="8"/>
    <x v="8"/>
  </r>
  <r>
    <x v="1"/>
    <x v="3"/>
    <x v="5"/>
    <x v="3"/>
    <x v="0"/>
    <x v="0"/>
    <x v="0"/>
    <x v="8"/>
  </r>
  <r>
    <x v="1"/>
    <x v="3"/>
    <x v="6"/>
    <x v="2"/>
    <x v="3"/>
    <x v="0"/>
    <x v="0"/>
    <x v="0"/>
  </r>
  <r>
    <x v="1"/>
    <x v="3"/>
    <x v="6"/>
    <x v="4"/>
    <x v="25"/>
    <x v="3"/>
    <x v="0"/>
    <x v="8"/>
  </r>
  <r>
    <x v="1"/>
    <x v="3"/>
    <x v="6"/>
    <x v="1"/>
    <x v="0"/>
    <x v="2"/>
    <x v="0"/>
    <x v="8"/>
  </r>
  <r>
    <x v="1"/>
    <x v="3"/>
    <x v="6"/>
    <x v="5"/>
    <x v="0"/>
    <x v="2"/>
    <x v="5"/>
    <x v="8"/>
  </r>
  <r>
    <x v="1"/>
    <x v="3"/>
    <x v="6"/>
    <x v="0"/>
    <x v="0"/>
    <x v="5"/>
    <x v="11"/>
    <x v="8"/>
  </r>
  <r>
    <x v="1"/>
    <x v="3"/>
    <x v="6"/>
    <x v="3"/>
    <x v="0"/>
    <x v="0"/>
    <x v="0"/>
    <x v="8"/>
  </r>
  <r>
    <x v="1"/>
    <x v="3"/>
    <x v="7"/>
    <x v="2"/>
    <x v="14"/>
    <x v="0"/>
    <x v="0"/>
    <x v="0"/>
  </r>
  <r>
    <x v="1"/>
    <x v="3"/>
    <x v="7"/>
    <x v="4"/>
    <x v="18"/>
    <x v="1"/>
    <x v="0"/>
    <x v="8"/>
  </r>
  <r>
    <x v="1"/>
    <x v="3"/>
    <x v="7"/>
    <x v="1"/>
    <x v="1"/>
    <x v="6"/>
    <x v="0"/>
    <x v="8"/>
  </r>
  <r>
    <x v="1"/>
    <x v="3"/>
    <x v="7"/>
    <x v="5"/>
    <x v="8"/>
    <x v="0"/>
    <x v="0"/>
    <x v="8"/>
  </r>
  <r>
    <x v="1"/>
    <x v="3"/>
    <x v="7"/>
    <x v="0"/>
    <x v="0"/>
    <x v="2"/>
    <x v="7"/>
    <x v="8"/>
  </r>
  <r>
    <x v="1"/>
    <x v="3"/>
    <x v="7"/>
    <x v="3"/>
    <x v="0"/>
    <x v="0"/>
    <x v="0"/>
    <x v="8"/>
  </r>
  <r>
    <x v="2"/>
    <x v="3"/>
    <x v="8"/>
    <x v="2"/>
    <x v="9"/>
    <x v="0"/>
    <x v="0"/>
    <x v="0"/>
  </r>
  <r>
    <x v="2"/>
    <x v="3"/>
    <x v="8"/>
    <x v="4"/>
    <x v="2"/>
    <x v="0"/>
    <x v="0"/>
    <x v="8"/>
  </r>
  <r>
    <x v="2"/>
    <x v="3"/>
    <x v="8"/>
    <x v="1"/>
    <x v="0"/>
    <x v="0"/>
    <x v="1"/>
    <x v="8"/>
  </r>
  <r>
    <x v="2"/>
    <x v="3"/>
    <x v="8"/>
    <x v="5"/>
    <x v="0"/>
    <x v="0"/>
    <x v="2"/>
    <x v="8"/>
  </r>
  <r>
    <x v="2"/>
    <x v="3"/>
    <x v="8"/>
    <x v="0"/>
    <x v="0"/>
    <x v="0"/>
    <x v="0"/>
    <x v="8"/>
  </r>
  <r>
    <x v="2"/>
    <x v="3"/>
    <x v="8"/>
    <x v="3"/>
    <x v="6"/>
    <x v="5"/>
    <x v="0"/>
    <x v="8"/>
  </r>
  <r>
    <x v="2"/>
    <x v="3"/>
    <x v="9"/>
    <x v="2"/>
    <x v="3"/>
    <x v="0"/>
    <x v="0"/>
    <x v="0"/>
  </r>
  <r>
    <x v="2"/>
    <x v="3"/>
    <x v="9"/>
    <x v="4"/>
    <x v="11"/>
    <x v="0"/>
    <x v="0"/>
    <x v="8"/>
  </r>
  <r>
    <x v="2"/>
    <x v="3"/>
    <x v="9"/>
    <x v="1"/>
    <x v="6"/>
    <x v="7"/>
    <x v="2"/>
    <x v="8"/>
  </r>
  <r>
    <x v="2"/>
    <x v="3"/>
    <x v="9"/>
    <x v="5"/>
    <x v="1"/>
    <x v="0"/>
    <x v="0"/>
    <x v="8"/>
  </r>
  <r>
    <x v="2"/>
    <x v="3"/>
    <x v="9"/>
    <x v="0"/>
    <x v="3"/>
    <x v="4"/>
    <x v="2"/>
    <x v="8"/>
  </r>
  <r>
    <x v="2"/>
    <x v="3"/>
    <x v="9"/>
    <x v="3"/>
    <x v="0"/>
    <x v="0"/>
    <x v="0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0">
  <r>
    <x v="15"/>
    <x v="2"/>
    <x v="0"/>
    <x v="2"/>
    <x v="19"/>
    <x v="9"/>
    <x v="8"/>
    <x v="5"/>
    <x v="7"/>
    <x v="9"/>
    <x v="0"/>
  </r>
  <r>
    <x v="15"/>
    <x v="2"/>
    <x v="0"/>
    <x v="4"/>
    <x v="10"/>
    <x v="8"/>
    <x v="8"/>
    <x v="5"/>
    <x v="7"/>
    <x v="9"/>
    <x v="8"/>
  </r>
  <r>
    <x v="15"/>
    <x v="2"/>
    <x v="0"/>
    <x v="1"/>
    <x v="19"/>
    <x v="9"/>
    <x v="8"/>
    <x v="5"/>
    <x v="7"/>
    <x v="9"/>
    <x v="8"/>
  </r>
  <r>
    <x v="15"/>
    <x v="2"/>
    <x v="0"/>
    <x v="5"/>
    <x v="19"/>
    <x v="1"/>
    <x v="8"/>
    <x v="5"/>
    <x v="0"/>
    <x v="9"/>
    <x v="8"/>
  </r>
  <r>
    <x v="15"/>
    <x v="2"/>
    <x v="0"/>
    <x v="0"/>
    <x v="19"/>
    <x v="0"/>
    <x v="1"/>
    <x v="1"/>
    <x v="2"/>
    <x v="6"/>
    <x v="8"/>
  </r>
  <r>
    <x v="15"/>
    <x v="2"/>
    <x v="0"/>
    <x v="3"/>
    <x v="19"/>
    <x v="9"/>
    <x v="8"/>
    <x v="5"/>
    <x v="7"/>
    <x v="9"/>
    <x v="8"/>
  </r>
  <r>
    <x v="15"/>
    <x v="2"/>
    <x v="1"/>
    <x v="2"/>
    <x v="0"/>
    <x v="9"/>
    <x v="8"/>
    <x v="5"/>
    <x v="7"/>
    <x v="9"/>
    <x v="0"/>
  </r>
  <r>
    <x v="15"/>
    <x v="2"/>
    <x v="1"/>
    <x v="4"/>
    <x v="8"/>
    <x v="9"/>
    <x v="8"/>
    <x v="5"/>
    <x v="7"/>
    <x v="9"/>
    <x v="8"/>
  </r>
  <r>
    <x v="15"/>
    <x v="2"/>
    <x v="1"/>
    <x v="1"/>
    <x v="0"/>
    <x v="9"/>
    <x v="8"/>
    <x v="5"/>
    <x v="7"/>
    <x v="9"/>
    <x v="8"/>
  </r>
  <r>
    <x v="15"/>
    <x v="2"/>
    <x v="1"/>
    <x v="5"/>
    <x v="1"/>
    <x v="0"/>
    <x v="0"/>
    <x v="5"/>
    <x v="7"/>
    <x v="0"/>
    <x v="8"/>
  </r>
  <r>
    <x v="15"/>
    <x v="2"/>
    <x v="1"/>
    <x v="0"/>
    <x v="19"/>
    <x v="9"/>
    <x v="8"/>
    <x v="5"/>
    <x v="2"/>
    <x v="9"/>
    <x v="8"/>
  </r>
  <r>
    <x v="15"/>
    <x v="2"/>
    <x v="1"/>
    <x v="3"/>
    <x v="19"/>
    <x v="9"/>
    <x v="8"/>
    <x v="5"/>
    <x v="7"/>
    <x v="9"/>
    <x v="8"/>
  </r>
  <r>
    <x v="15"/>
    <x v="2"/>
    <x v="2"/>
    <x v="2"/>
    <x v="0"/>
    <x v="0"/>
    <x v="8"/>
    <x v="5"/>
    <x v="7"/>
    <x v="9"/>
    <x v="1"/>
  </r>
  <r>
    <x v="15"/>
    <x v="2"/>
    <x v="2"/>
    <x v="4"/>
    <x v="5"/>
    <x v="1"/>
    <x v="8"/>
    <x v="5"/>
    <x v="7"/>
    <x v="9"/>
    <x v="8"/>
  </r>
  <r>
    <x v="15"/>
    <x v="2"/>
    <x v="2"/>
    <x v="1"/>
    <x v="19"/>
    <x v="9"/>
    <x v="8"/>
    <x v="5"/>
    <x v="7"/>
    <x v="9"/>
    <x v="8"/>
  </r>
  <r>
    <x v="15"/>
    <x v="2"/>
    <x v="2"/>
    <x v="5"/>
    <x v="1"/>
    <x v="2"/>
    <x v="8"/>
    <x v="5"/>
    <x v="0"/>
    <x v="1"/>
    <x v="8"/>
  </r>
  <r>
    <x v="15"/>
    <x v="2"/>
    <x v="2"/>
    <x v="0"/>
    <x v="19"/>
    <x v="1"/>
    <x v="1"/>
    <x v="0"/>
    <x v="0"/>
    <x v="0"/>
    <x v="8"/>
  </r>
  <r>
    <x v="15"/>
    <x v="2"/>
    <x v="2"/>
    <x v="3"/>
    <x v="0"/>
    <x v="9"/>
    <x v="8"/>
    <x v="5"/>
    <x v="7"/>
    <x v="9"/>
    <x v="8"/>
  </r>
  <r>
    <x v="15"/>
    <x v="2"/>
    <x v="3"/>
    <x v="2"/>
    <x v="19"/>
    <x v="9"/>
    <x v="8"/>
    <x v="5"/>
    <x v="7"/>
    <x v="9"/>
    <x v="0"/>
  </r>
  <r>
    <x v="15"/>
    <x v="2"/>
    <x v="3"/>
    <x v="4"/>
    <x v="1"/>
    <x v="9"/>
    <x v="8"/>
    <x v="5"/>
    <x v="7"/>
    <x v="9"/>
    <x v="8"/>
  </r>
  <r>
    <x v="15"/>
    <x v="2"/>
    <x v="3"/>
    <x v="1"/>
    <x v="19"/>
    <x v="9"/>
    <x v="8"/>
    <x v="5"/>
    <x v="7"/>
    <x v="9"/>
    <x v="8"/>
  </r>
  <r>
    <x v="15"/>
    <x v="2"/>
    <x v="3"/>
    <x v="5"/>
    <x v="19"/>
    <x v="9"/>
    <x v="8"/>
    <x v="5"/>
    <x v="7"/>
    <x v="9"/>
    <x v="8"/>
  </r>
  <r>
    <x v="15"/>
    <x v="2"/>
    <x v="3"/>
    <x v="0"/>
    <x v="0"/>
    <x v="1"/>
    <x v="0"/>
    <x v="1"/>
    <x v="7"/>
    <x v="3"/>
    <x v="8"/>
  </r>
  <r>
    <x v="15"/>
    <x v="2"/>
    <x v="3"/>
    <x v="3"/>
    <x v="19"/>
    <x v="9"/>
    <x v="8"/>
    <x v="5"/>
    <x v="7"/>
    <x v="9"/>
    <x v="8"/>
  </r>
  <r>
    <x v="15"/>
    <x v="2"/>
    <x v="4"/>
    <x v="2"/>
    <x v="0"/>
    <x v="9"/>
    <x v="8"/>
    <x v="5"/>
    <x v="7"/>
    <x v="9"/>
    <x v="1"/>
  </r>
  <r>
    <x v="15"/>
    <x v="2"/>
    <x v="4"/>
    <x v="4"/>
    <x v="3"/>
    <x v="9"/>
    <x v="8"/>
    <x v="5"/>
    <x v="7"/>
    <x v="9"/>
    <x v="8"/>
  </r>
  <r>
    <x v="15"/>
    <x v="2"/>
    <x v="4"/>
    <x v="1"/>
    <x v="1"/>
    <x v="1"/>
    <x v="0"/>
    <x v="5"/>
    <x v="7"/>
    <x v="9"/>
    <x v="8"/>
  </r>
  <r>
    <x v="15"/>
    <x v="2"/>
    <x v="4"/>
    <x v="5"/>
    <x v="0"/>
    <x v="9"/>
    <x v="8"/>
    <x v="0"/>
    <x v="0"/>
    <x v="9"/>
    <x v="8"/>
  </r>
  <r>
    <x v="15"/>
    <x v="2"/>
    <x v="4"/>
    <x v="0"/>
    <x v="19"/>
    <x v="1"/>
    <x v="1"/>
    <x v="5"/>
    <x v="7"/>
    <x v="9"/>
    <x v="8"/>
  </r>
  <r>
    <x v="15"/>
    <x v="2"/>
    <x v="4"/>
    <x v="3"/>
    <x v="19"/>
    <x v="2"/>
    <x v="8"/>
    <x v="5"/>
    <x v="7"/>
    <x v="9"/>
    <x v="8"/>
  </r>
  <r>
    <x v="15"/>
    <x v="2"/>
    <x v="5"/>
    <x v="2"/>
    <x v="2"/>
    <x v="9"/>
    <x v="8"/>
    <x v="5"/>
    <x v="7"/>
    <x v="9"/>
    <x v="0"/>
  </r>
  <r>
    <x v="15"/>
    <x v="2"/>
    <x v="5"/>
    <x v="4"/>
    <x v="4"/>
    <x v="9"/>
    <x v="8"/>
    <x v="5"/>
    <x v="7"/>
    <x v="9"/>
    <x v="8"/>
  </r>
  <r>
    <x v="15"/>
    <x v="2"/>
    <x v="5"/>
    <x v="1"/>
    <x v="4"/>
    <x v="1"/>
    <x v="0"/>
    <x v="1"/>
    <x v="7"/>
    <x v="9"/>
    <x v="8"/>
  </r>
  <r>
    <x v="15"/>
    <x v="2"/>
    <x v="5"/>
    <x v="5"/>
    <x v="19"/>
    <x v="9"/>
    <x v="8"/>
    <x v="5"/>
    <x v="7"/>
    <x v="9"/>
    <x v="8"/>
  </r>
  <r>
    <x v="15"/>
    <x v="2"/>
    <x v="5"/>
    <x v="0"/>
    <x v="19"/>
    <x v="9"/>
    <x v="8"/>
    <x v="5"/>
    <x v="7"/>
    <x v="9"/>
    <x v="8"/>
  </r>
  <r>
    <x v="15"/>
    <x v="2"/>
    <x v="5"/>
    <x v="3"/>
    <x v="19"/>
    <x v="9"/>
    <x v="8"/>
    <x v="5"/>
    <x v="7"/>
    <x v="9"/>
    <x v="8"/>
  </r>
  <r>
    <x v="16"/>
    <x v="2"/>
    <x v="6"/>
    <x v="2"/>
    <x v="2"/>
    <x v="9"/>
    <x v="8"/>
    <x v="5"/>
    <x v="7"/>
    <x v="9"/>
    <x v="0"/>
  </r>
  <r>
    <x v="16"/>
    <x v="2"/>
    <x v="6"/>
    <x v="4"/>
    <x v="3"/>
    <x v="9"/>
    <x v="8"/>
    <x v="5"/>
    <x v="7"/>
    <x v="9"/>
    <x v="8"/>
  </r>
  <r>
    <x v="16"/>
    <x v="2"/>
    <x v="6"/>
    <x v="1"/>
    <x v="19"/>
    <x v="9"/>
    <x v="8"/>
    <x v="5"/>
    <x v="7"/>
    <x v="9"/>
    <x v="8"/>
  </r>
  <r>
    <x v="16"/>
    <x v="2"/>
    <x v="6"/>
    <x v="5"/>
    <x v="19"/>
    <x v="9"/>
    <x v="0"/>
    <x v="5"/>
    <x v="7"/>
    <x v="9"/>
    <x v="8"/>
  </r>
  <r>
    <x v="16"/>
    <x v="2"/>
    <x v="6"/>
    <x v="0"/>
    <x v="19"/>
    <x v="1"/>
    <x v="8"/>
    <x v="5"/>
    <x v="7"/>
    <x v="2"/>
    <x v="8"/>
  </r>
  <r>
    <x v="16"/>
    <x v="2"/>
    <x v="6"/>
    <x v="3"/>
    <x v="19"/>
    <x v="9"/>
    <x v="8"/>
    <x v="5"/>
    <x v="7"/>
    <x v="9"/>
    <x v="8"/>
  </r>
  <r>
    <x v="16"/>
    <x v="2"/>
    <x v="7"/>
    <x v="2"/>
    <x v="1"/>
    <x v="9"/>
    <x v="8"/>
    <x v="5"/>
    <x v="7"/>
    <x v="9"/>
    <x v="0"/>
  </r>
  <r>
    <x v="16"/>
    <x v="2"/>
    <x v="7"/>
    <x v="4"/>
    <x v="10"/>
    <x v="1"/>
    <x v="8"/>
    <x v="5"/>
    <x v="7"/>
    <x v="9"/>
    <x v="8"/>
  </r>
  <r>
    <x v="16"/>
    <x v="2"/>
    <x v="7"/>
    <x v="1"/>
    <x v="2"/>
    <x v="9"/>
    <x v="1"/>
    <x v="1"/>
    <x v="7"/>
    <x v="9"/>
    <x v="8"/>
  </r>
  <r>
    <x v="16"/>
    <x v="2"/>
    <x v="7"/>
    <x v="5"/>
    <x v="1"/>
    <x v="0"/>
    <x v="8"/>
    <x v="5"/>
    <x v="7"/>
    <x v="9"/>
    <x v="8"/>
  </r>
  <r>
    <x v="16"/>
    <x v="2"/>
    <x v="7"/>
    <x v="0"/>
    <x v="19"/>
    <x v="9"/>
    <x v="8"/>
    <x v="5"/>
    <x v="7"/>
    <x v="9"/>
    <x v="8"/>
  </r>
  <r>
    <x v="16"/>
    <x v="2"/>
    <x v="7"/>
    <x v="3"/>
    <x v="0"/>
    <x v="9"/>
    <x v="8"/>
    <x v="5"/>
    <x v="7"/>
    <x v="9"/>
    <x v="8"/>
  </r>
  <r>
    <x v="16"/>
    <x v="2"/>
    <x v="8"/>
    <x v="2"/>
    <x v="1"/>
    <x v="9"/>
    <x v="8"/>
    <x v="5"/>
    <x v="7"/>
    <x v="9"/>
    <x v="0"/>
  </r>
  <r>
    <x v="16"/>
    <x v="2"/>
    <x v="8"/>
    <x v="4"/>
    <x v="1"/>
    <x v="9"/>
    <x v="8"/>
    <x v="5"/>
    <x v="7"/>
    <x v="9"/>
    <x v="8"/>
  </r>
  <r>
    <x v="16"/>
    <x v="2"/>
    <x v="8"/>
    <x v="1"/>
    <x v="1"/>
    <x v="9"/>
    <x v="8"/>
    <x v="5"/>
    <x v="7"/>
    <x v="9"/>
    <x v="8"/>
  </r>
  <r>
    <x v="16"/>
    <x v="2"/>
    <x v="8"/>
    <x v="5"/>
    <x v="19"/>
    <x v="9"/>
    <x v="8"/>
    <x v="5"/>
    <x v="7"/>
    <x v="9"/>
    <x v="8"/>
  </r>
  <r>
    <x v="16"/>
    <x v="2"/>
    <x v="8"/>
    <x v="0"/>
    <x v="0"/>
    <x v="2"/>
    <x v="1"/>
    <x v="3"/>
    <x v="3"/>
    <x v="9"/>
    <x v="8"/>
  </r>
  <r>
    <x v="16"/>
    <x v="2"/>
    <x v="8"/>
    <x v="3"/>
    <x v="19"/>
    <x v="9"/>
    <x v="8"/>
    <x v="5"/>
    <x v="7"/>
    <x v="9"/>
    <x v="8"/>
  </r>
  <r>
    <x v="16"/>
    <x v="2"/>
    <x v="9"/>
    <x v="2"/>
    <x v="3"/>
    <x v="1"/>
    <x v="8"/>
    <x v="5"/>
    <x v="7"/>
    <x v="9"/>
    <x v="0"/>
  </r>
  <r>
    <x v="16"/>
    <x v="2"/>
    <x v="9"/>
    <x v="4"/>
    <x v="12"/>
    <x v="8"/>
    <x v="8"/>
    <x v="5"/>
    <x v="7"/>
    <x v="9"/>
    <x v="8"/>
  </r>
  <r>
    <x v="16"/>
    <x v="2"/>
    <x v="9"/>
    <x v="1"/>
    <x v="1"/>
    <x v="9"/>
    <x v="8"/>
    <x v="5"/>
    <x v="7"/>
    <x v="9"/>
    <x v="8"/>
  </r>
  <r>
    <x v="16"/>
    <x v="2"/>
    <x v="9"/>
    <x v="5"/>
    <x v="19"/>
    <x v="9"/>
    <x v="8"/>
    <x v="5"/>
    <x v="7"/>
    <x v="9"/>
    <x v="8"/>
  </r>
  <r>
    <x v="16"/>
    <x v="2"/>
    <x v="9"/>
    <x v="0"/>
    <x v="19"/>
    <x v="9"/>
    <x v="2"/>
    <x v="0"/>
    <x v="3"/>
    <x v="0"/>
    <x v="8"/>
  </r>
  <r>
    <x v="16"/>
    <x v="2"/>
    <x v="9"/>
    <x v="3"/>
    <x v="19"/>
    <x v="9"/>
    <x v="8"/>
    <x v="5"/>
    <x v="7"/>
    <x v="9"/>
    <x v="8"/>
  </r>
  <r>
    <x v="11"/>
    <x v="5"/>
    <x v="0"/>
    <x v="2"/>
    <x v="19"/>
    <x v="9"/>
    <x v="8"/>
    <x v="5"/>
    <x v="7"/>
    <x v="9"/>
    <x v="5"/>
  </r>
  <r>
    <x v="11"/>
    <x v="5"/>
    <x v="0"/>
    <x v="4"/>
    <x v="10"/>
    <x v="9"/>
    <x v="8"/>
    <x v="5"/>
    <x v="7"/>
    <x v="9"/>
    <x v="8"/>
  </r>
  <r>
    <x v="11"/>
    <x v="5"/>
    <x v="0"/>
    <x v="1"/>
    <x v="19"/>
    <x v="9"/>
    <x v="8"/>
    <x v="5"/>
    <x v="7"/>
    <x v="9"/>
    <x v="8"/>
  </r>
  <r>
    <x v="11"/>
    <x v="5"/>
    <x v="0"/>
    <x v="5"/>
    <x v="19"/>
    <x v="9"/>
    <x v="8"/>
    <x v="5"/>
    <x v="7"/>
    <x v="9"/>
    <x v="8"/>
  </r>
  <r>
    <x v="11"/>
    <x v="5"/>
    <x v="0"/>
    <x v="0"/>
    <x v="0"/>
    <x v="2"/>
    <x v="1"/>
    <x v="0"/>
    <x v="1"/>
    <x v="0"/>
    <x v="8"/>
  </r>
  <r>
    <x v="11"/>
    <x v="5"/>
    <x v="0"/>
    <x v="3"/>
    <x v="19"/>
    <x v="9"/>
    <x v="8"/>
    <x v="5"/>
    <x v="7"/>
    <x v="9"/>
    <x v="8"/>
  </r>
  <r>
    <x v="12"/>
    <x v="5"/>
    <x v="1"/>
    <x v="2"/>
    <x v="19"/>
    <x v="9"/>
    <x v="8"/>
    <x v="5"/>
    <x v="7"/>
    <x v="9"/>
    <x v="1"/>
  </r>
  <r>
    <x v="12"/>
    <x v="5"/>
    <x v="1"/>
    <x v="4"/>
    <x v="0"/>
    <x v="9"/>
    <x v="8"/>
    <x v="5"/>
    <x v="7"/>
    <x v="9"/>
    <x v="8"/>
  </r>
  <r>
    <x v="12"/>
    <x v="5"/>
    <x v="1"/>
    <x v="1"/>
    <x v="19"/>
    <x v="9"/>
    <x v="8"/>
    <x v="5"/>
    <x v="7"/>
    <x v="9"/>
    <x v="8"/>
  </r>
  <r>
    <x v="12"/>
    <x v="5"/>
    <x v="1"/>
    <x v="5"/>
    <x v="0"/>
    <x v="1"/>
    <x v="8"/>
    <x v="5"/>
    <x v="7"/>
    <x v="9"/>
    <x v="8"/>
  </r>
  <r>
    <x v="12"/>
    <x v="5"/>
    <x v="1"/>
    <x v="0"/>
    <x v="19"/>
    <x v="0"/>
    <x v="8"/>
    <x v="5"/>
    <x v="0"/>
    <x v="1"/>
    <x v="8"/>
  </r>
  <r>
    <x v="12"/>
    <x v="5"/>
    <x v="1"/>
    <x v="3"/>
    <x v="19"/>
    <x v="9"/>
    <x v="8"/>
    <x v="5"/>
    <x v="7"/>
    <x v="9"/>
    <x v="8"/>
  </r>
  <r>
    <x v="12"/>
    <x v="5"/>
    <x v="2"/>
    <x v="2"/>
    <x v="3"/>
    <x v="9"/>
    <x v="3"/>
    <x v="5"/>
    <x v="7"/>
    <x v="9"/>
    <x v="2"/>
  </r>
  <r>
    <x v="12"/>
    <x v="5"/>
    <x v="2"/>
    <x v="4"/>
    <x v="5"/>
    <x v="9"/>
    <x v="8"/>
    <x v="5"/>
    <x v="7"/>
    <x v="9"/>
    <x v="8"/>
  </r>
  <r>
    <x v="12"/>
    <x v="5"/>
    <x v="2"/>
    <x v="1"/>
    <x v="19"/>
    <x v="9"/>
    <x v="8"/>
    <x v="5"/>
    <x v="7"/>
    <x v="9"/>
    <x v="8"/>
  </r>
  <r>
    <x v="12"/>
    <x v="5"/>
    <x v="2"/>
    <x v="5"/>
    <x v="19"/>
    <x v="9"/>
    <x v="8"/>
    <x v="5"/>
    <x v="7"/>
    <x v="1"/>
    <x v="8"/>
  </r>
  <r>
    <x v="12"/>
    <x v="5"/>
    <x v="2"/>
    <x v="0"/>
    <x v="19"/>
    <x v="9"/>
    <x v="8"/>
    <x v="5"/>
    <x v="7"/>
    <x v="1"/>
    <x v="8"/>
  </r>
  <r>
    <x v="12"/>
    <x v="5"/>
    <x v="2"/>
    <x v="3"/>
    <x v="19"/>
    <x v="9"/>
    <x v="8"/>
    <x v="5"/>
    <x v="7"/>
    <x v="9"/>
    <x v="8"/>
  </r>
  <r>
    <x v="12"/>
    <x v="5"/>
    <x v="3"/>
    <x v="2"/>
    <x v="19"/>
    <x v="9"/>
    <x v="8"/>
    <x v="5"/>
    <x v="7"/>
    <x v="9"/>
    <x v="1"/>
  </r>
  <r>
    <x v="12"/>
    <x v="5"/>
    <x v="3"/>
    <x v="4"/>
    <x v="4"/>
    <x v="9"/>
    <x v="8"/>
    <x v="5"/>
    <x v="7"/>
    <x v="9"/>
    <x v="8"/>
  </r>
  <r>
    <x v="12"/>
    <x v="5"/>
    <x v="3"/>
    <x v="1"/>
    <x v="19"/>
    <x v="9"/>
    <x v="8"/>
    <x v="5"/>
    <x v="7"/>
    <x v="9"/>
    <x v="8"/>
  </r>
  <r>
    <x v="12"/>
    <x v="5"/>
    <x v="3"/>
    <x v="5"/>
    <x v="19"/>
    <x v="9"/>
    <x v="8"/>
    <x v="5"/>
    <x v="7"/>
    <x v="9"/>
    <x v="8"/>
  </r>
  <r>
    <x v="12"/>
    <x v="5"/>
    <x v="3"/>
    <x v="0"/>
    <x v="19"/>
    <x v="9"/>
    <x v="1"/>
    <x v="0"/>
    <x v="1"/>
    <x v="0"/>
    <x v="8"/>
  </r>
  <r>
    <x v="12"/>
    <x v="5"/>
    <x v="3"/>
    <x v="3"/>
    <x v="19"/>
    <x v="9"/>
    <x v="8"/>
    <x v="5"/>
    <x v="7"/>
    <x v="9"/>
    <x v="8"/>
  </r>
  <r>
    <x v="12"/>
    <x v="5"/>
    <x v="4"/>
    <x v="2"/>
    <x v="19"/>
    <x v="9"/>
    <x v="8"/>
    <x v="5"/>
    <x v="7"/>
    <x v="9"/>
    <x v="2"/>
  </r>
  <r>
    <x v="12"/>
    <x v="5"/>
    <x v="4"/>
    <x v="4"/>
    <x v="2"/>
    <x v="9"/>
    <x v="8"/>
    <x v="5"/>
    <x v="7"/>
    <x v="9"/>
    <x v="8"/>
  </r>
  <r>
    <x v="12"/>
    <x v="5"/>
    <x v="4"/>
    <x v="1"/>
    <x v="19"/>
    <x v="9"/>
    <x v="8"/>
    <x v="5"/>
    <x v="7"/>
    <x v="9"/>
    <x v="8"/>
  </r>
  <r>
    <x v="12"/>
    <x v="5"/>
    <x v="4"/>
    <x v="5"/>
    <x v="19"/>
    <x v="9"/>
    <x v="8"/>
    <x v="5"/>
    <x v="7"/>
    <x v="9"/>
    <x v="8"/>
  </r>
  <r>
    <x v="12"/>
    <x v="5"/>
    <x v="4"/>
    <x v="0"/>
    <x v="19"/>
    <x v="9"/>
    <x v="8"/>
    <x v="5"/>
    <x v="7"/>
    <x v="9"/>
    <x v="8"/>
  </r>
  <r>
    <x v="12"/>
    <x v="5"/>
    <x v="4"/>
    <x v="3"/>
    <x v="19"/>
    <x v="9"/>
    <x v="8"/>
    <x v="5"/>
    <x v="7"/>
    <x v="9"/>
    <x v="8"/>
  </r>
  <r>
    <x v="12"/>
    <x v="5"/>
    <x v="5"/>
    <x v="2"/>
    <x v="1"/>
    <x v="9"/>
    <x v="8"/>
    <x v="5"/>
    <x v="7"/>
    <x v="9"/>
    <x v="0"/>
  </r>
  <r>
    <x v="12"/>
    <x v="5"/>
    <x v="5"/>
    <x v="4"/>
    <x v="19"/>
    <x v="9"/>
    <x v="8"/>
    <x v="5"/>
    <x v="7"/>
    <x v="9"/>
    <x v="8"/>
  </r>
  <r>
    <x v="12"/>
    <x v="5"/>
    <x v="5"/>
    <x v="1"/>
    <x v="0"/>
    <x v="2"/>
    <x v="8"/>
    <x v="5"/>
    <x v="7"/>
    <x v="9"/>
    <x v="8"/>
  </r>
  <r>
    <x v="12"/>
    <x v="5"/>
    <x v="5"/>
    <x v="5"/>
    <x v="0"/>
    <x v="9"/>
    <x v="8"/>
    <x v="5"/>
    <x v="7"/>
    <x v="9"/>
    <x v="8"/>
  </r>
  <r>
    <x v="12"/>
    <x v="5"/>
    <x v="5"/>
    <x v="0"/>
    <x v="19"/>
    <x v="9"/>
    <x v="8"/>
    <x v="4"/>
    <x v="7"/>
    <x v="9"/>
    <x v="8"/>
  </r>
  <r>
    <x v="12"/>
    <x v="5"/>
    <x v="5"/>
    <x v="3"/>
    <x v="19"/>
    <x v="9"/>
    <x v="8"/>
    <x v="5"/>
    <x v="7"/>
    <x v="9"/>
    <x v="8"/>
  </r>
  <r>
    <x v="12"/>
    <x v="5"/>
    <x v="6"/>
    <x v="2"/>
    <x v="0"/>
    <x v="9"/>
    <x v="8"/>
    <x v="5"/>
    <x v="7"/>
    <x v="9"/>
    <x v="2"/>
  </r>
  <r>
    <x v="12"/>
    <x v="5"/>
    <x v="6"/>
    <x v="4"/>
    <x v="19"/>
    <x v="9"/>
    <x v="8"/>
    <x v="5"/>
    <x v="7"/>
    <x v="9"/>
    <x v="8"/>
  </r>
  <r>
    <x v="12"/>
    <x v="5"/>
    <x v="6"/>
    <x v="1"/>
    <x v="19"/>
    <x v="9"/>
    <x v="8"/>
    <x v="5"/>
    <x v="7"/>
    <x v="9"/>
    <x v="8"/>
  </r>
  <r>
    <x v="12"/>
    <x v="5"/>
    <x v="6"/>
    <x v="5"/>
    <x v="1"/>
    <x v="9"/>
    <x v="8"/>
    <x v="5"/>
    <x v="7"/>
    <x v="9"/>
    <x v="8"/>
  </r>
  <r>
    <x v="12"/>
    <x v="5"/>
    <x v="6"/>
    <x v="0"/>
    <x v="19"/>
    <x v="9"/>
    <x v="8"/>
    <x v="1"/>
    <x v="7"/>
    <x v="9"/>
    <x v="8"/>
  </r>
  <r>
    <x v="12"/>
    <x v="5"/>
    <x v="6"/>
    <x v="3"/>
    <x v="19"/>
    <x v="9"/>
    <x v="8"/>
    <x v="5"/>
    <x v="7"/>
    <x v="9"/>
    <x v="8"/>
  </r>
  <r>
    <x v="12"/>
    <x v="5"/>
    <x v="7"/>
    <x v="2"/>
    <x v="19"/>
    <x v="9"/>
    <x v="8"/>
    <x v="5"/>
    <x v="7"/>
    <x v="9"/>
    <x v="2"/>
  </r>
  <r>
    <x v="12"/>
    <x v="5"/>
    <x v="7"/>
    <x v="4"/>
    <x v="5"/>
    <x v="9"/>
    <x v="8"/>
    <x v="5"/>
    <x v="7"/>
    <x v="9"/>
    <x v="8"/>
  </r>
  <r>
    <x v="12"/>
    <x v="5"/>
    <x v="7"/>
    <x v="1"/>
    <x v="19"/>
    <x v="9"/>
    <x v="8"/>
    <x v="5"/>
    <x v="7"/>
    <x v="9"/>
    <x v="8"/>
  </r>
  <r>
    <x v="12"/>
    <x v="5"/>
    <x v="7"/>
    <x v="5"/>
    <x v="19"/>
    <x v="0"/>
    <x v="8"/>
    <x v="0"/>
    <x v="7"/>
    <x v="9"/>
    <x v="8"/>
  </r>
  <r>
    <x v="12"/>
    <x v="5"/>
    <x v="7"/>
    <x v="0"/>
    <x v="0"/>
    <x v="0"/>
    <x v="2"/>
    <x v="1"/>
    <x v="7"/>
    <x v="9"/>
    <x v="8"/>
  </r>
  <r>
    <x v="12"/>
    <x v="5"/>
    <x v="7"/>
    <x v="3"/>
    <x v="19"/>
    <x v="9"/>
    <x v="8"/>
    <x v="5"/>
    <x v="7"/>
    <x v="9"/>
    <x v="8"/>
  </r>
  <r>
    <x v="13"/>
    <x v="5"/>
    <x v="8"/>
    <x v="2"/>
    <x v="19"/>
    <x v="9"/>
    <x v="8"/>
    <x v="5"/>
    <x v="7"/>
    <x v="9"/>
    <x v="1"/>
  </r>
  <r>
    <x v="13"/>
    <x v="5"/>
    <x v="8"/>
    <x v="4"/>
    <x v="19"/>
    <x v="9"/>
    <x v="8"/>
    <x v="5"/>
    <x v="7"/>
    <x v="9"/>
    <x v="8"/>
  </r>
  <r>
    <x v="13"/>
    <x v="5"/>
    <x v="8"/>
    <x v="1"/>
    <x v="19"/>
    <x v="9"/>
    <x v="8"/>
    <x v="5"/>
    <x v="7"/>
    <x v="9"/>
    <x v="8"/>
  </r>
  <r>
    <x v="13"/>
    <x v="5"/>
    <x v="8"/>
    <x v="5"/>
    <x v="19"/>
    <x v="9"/>
    <x v="8"/>
    <x v="5"/>
    <x v="7"/>
    <x v="9"/>
    <x v="8"/>
  </r>
  <r>
    <x v="13"/>
    <x v="5"/>
    <x v="8"/>
    <x v="0"/>
    <x v="19"/>
    <x v="9"/>
    <x v="8"/>
    <x v="5"/>
    <x v="7"/>
    <x v="9"/>
    <x v="8"/>
  </r>
  <r>
    <x v="13"/>
    <x v="5"/>
    <x v="8"/>
    <x v="3"/>
    <x v="19"/>
    <x v="9"/>
    <x v="8"/>
    <x v="5"/>
    <x v="7"/>
    <x v="9"/>
    <x v="8"/>
  </r>
  <r>
    <x v="14"/>
    <x v="5"/>
    <x v="9"/>
    <x v="2"/>
    <x v="0"/>
    <x v="9"/>
    <x v="8"/>
    <x v="5"/>
    <x v="7"/>
    <x v="9"/>
    <x v="0"/>
  </r>
  <r>
    <x v="14"/>
    <x v="5"/>
    <x v="9"/>
    <x v="4"/>
    <x v="0"/>
    <x v="9"/>
    <x v="8"/>
    <x v="5"/>
    <x v="7"/>
    <x v="9"/>
    <x v="8"/>
  </r>
  <r>
    <x v="14"/>
    <x v="5"/>
    <x v="9"/>
    <x v="1"/>
    <x v="0"/>
    <x v="9"/>
    <x v="8"/>
    <x v="5"/>
    <x v="7"/>
    <x v="9"/>
    <x v="8"/>
  </r>
  <r>
    <x v="14"/>
    <x v="5"/>
    <x v="9"/>
    <x v="5"/>
    <x v="0"/>
    <x v="0"/>
    <x v="8"/>
    <x v="5"/>
    <x v="7"/>
    <x v="9"/>
    <x v="8"/>
  </r>
  <r>
    <x v="14"/>
    <x v="5"/>
    <x v="9"/>
    <x v="0"/>
    <x v="19"/>
    <x v="9"/>
    <x v="0"/>
    <x v="5"/>
    <x v="7"/>
    <x v="9"/>
    <x v="8"/>
  </r>
  <r>
    <x v="14"/>
    <x v="5"/>
    <x v="9"/>
    <x v="3"/>
    <x v="19"/>
    <x v="9"/>
    <x v="8"/>
    <x v="5"/>
    <x v="7"/>
    <x v="9"/>
    <x v="8"/>
  </r>
  <r>
    <x v="9"/>
    <x v="1"/>
    <x v="0"/>
    <x v="2"/>
    <x v="19"/>
    <x v="9"/>
    <x v="8"/>
    <x v="5"/>
    <x v="7"/>
    <x v="9"/>
    <x v="2"/>
  </r>
  <r>
    <x v="9"/>
    <x v="1"/>
    <x v="0"/>
    <x v="4"/>
    <x v="19"/>
    <x v="9"/>
    <x v="8"/>
    <x v="5"/>
    <x v="7"/>
    <x v="9"/>
    <x v="8"/>
  </r>
  <r>
    <x v="9"/>
    <x v="1"/>
    <x v="0"/>
    <x v="1"/>
    <x v="19"/>
    <x v="9"/>
    <x v="8"/>
    <x v="5"/>
    <x v="7"/>
    <x v="9"/>
    <x v="8"/>
  </r>
  <r>
    <x v="9"/>
    <x v="1"/>
    <x v="0"/>
    <x v="5"/>
    <x v="19"/>
    <x v="9"/>
    <x v="8"/>
    <x v="5"/>
    <x v="7"/>
    <x v="9"/>
    <x v="8"/>
  </r>
  <r>
    <x v="9"/>
    <x v="1"/>
    <x v="0"/>
    <x v="0"/>
    <x v="19"/>
    <x v="9"/>
    <x v="1"/>
    <x v="5"/>
    <x v="7"/>
    <x v="0"/>
    <x v="8"/>
  </r>
  <r>
    <x v="9"/>
    <x v="1"/>
    <x v="0"/>
    <x v="3"/>
    <x v="19"/>
    <x v="9"/>
    <x v="8"/>
    <x v="5"/>
    <x v="7"/>
    <x v="9"/>
    <x v="8"/>
  </r>
  <r>
    <x v="9"/>
    <x v="1"/>
    <x v="1"/>
    <x v="2"/>
    <x v="19"/>
    <x v="9"/>
    <x v="8"/>
    <x v="5"/>
    <x v="7"/>
    <x v="9"/>
    <x v="2"/>
  </r>
  <r>
    <x v="9"/>
    <x v="1"/>
    <x v="1"/>
    <x v="4"/>
    <x v="0"/>
    <x v="9"/>
    <x v="8"/>
    <x v="5"/>
    <x v="7"/>
    <x v="9"/>
    <x v="8"/>
  </r>
  <r>
    <x v="9"/>
    <x v="1"/>
    <x v="1"/>
    <x v="1"/>
    <x v="19"/>
    <x v="9"/>
    <x v="8"/>
    <x v="5"/>
    <x v="0"/>
    <x v="9"/>
    <x v="8"/>
  </r>
  <r>
    <x v="9"/>
    <x v="1"/>
    <x v="1"/>
    <x v="5"/>
    <x v="19"/>
    <x v="9"/>
    <x v="0"/>
    <x v="5"/>
    <x v="0"/>
    <x v="0"/>
    <x v="8"/>
  </r>
  <r>
    <x v="9"/>
    <x v="1"/>
    <x v="1"/>
    <x v="0"/>
    <x v="19"/>
    <x v="0"/>
    <x v="0"/>
    <x v="2"/>
    <x v="7"/>
    <x v="2"/>
    <x v="8"/>
  </r>
  <r>
    <x v="9"/>
    <x v="1"/>
    <x v="1"/>
    <x v="3"/>
    <x v="19"/>
    <x v="9"/>
    <x v="8"/>
    <x v="5"/>
    <x v="7"/>
    <x v="9"/>
    <x v="8"/>
  </r>
  <r>
    <x v="9"/>
    <x v="1"/>
    <x v="2"/>
    <x v="2"/>
    <x v="19"/>
    <x v="9"/>
    <x v="8"/>
    <x v="5"/>
    <x v="7"/>
    <x v="9"/>
    <x v="5"/>
  </r>
  <r>
    <x v="9"/>
    <x v="1"/>
    <x v="2"/>
    <x v="4"/>
    <x v="19"/>
    <x v="9"/>
    <x v="8"/>
    <x v="5"/>
    <x v="7"/>
    <x v="9"/>
    <x v="8"/>
  </r>
  <r>
    <x v="9"/>
    <x v="1"/>
    <x v="2"/>
    <x v="1"/>
    <x v="19"/>
    <x v="9"/>
    <x v="8"/>
    <x v="5"/>
    <x v="7"/>
    <x v="9"/>
    <x v="8"/>
  </r>
  <r>
    <x v="9"/>
    <x v="1"/>
    <x v="2"/>
    <x v="5"/>
    <x v="19"/>
    <x v="9"/>
    <x v="8"/>
    <x v="5"/>
    <x v="7"/>
    <x v="9"/>
    <x v="8"/>
  </r>
  <r>
    <x v="9"/>
    <x v="1"/>
    <x v="2"/>
    <x v="0"/>
    <x v="19"/>
    <x v="9"/>
    <x v="8"/>
    <x v="5"/>
    <x v="7"/>
    <x v="9"/>
    <x v="8"/>
  </r>
  <r>
    <x v="9"/>
    <x v="1"/>
    <x v="2"/>
    <x v="3"/>
    <x v="19"/>
    <x v="9"/>
    <x v="8"/>
    <x v="5"/>
    <x v="7"/>
    <x v="9"/>
    <x v="8"/>
  </r>
  <r>
    <x v="9"/>
    <x v="1"/>
    <x v="3"/>
    <x v="2"/>
    <x v="4"/>
    <x v="9"/>
    <x v="8"/>
    <x v="5"/>
    <x v="7"/>
    <x v="9"/>
    <x v="0"/>
  </r>
  <r>
    <x v="9"/>
    <x v="1"/>
    <x v="3"/>
    <x v="4"/>
    <x v="19"/>
    <x v="9"/>
    <x v="8"/>
    <x v="5"/>
    <x v="7"/>
    <x v="9"/>
    <x v="8"/>
  </r>
  <r>
    <x v="9"/>
    <x v="1"/>
    <x v="3"/>
    <x v="1"/>
    <x v="19"/>
    <x v="9"/>
    <x v="8"/>
    <x v="5"/>
    <x v="0"/>
    <x v="9"/>
    <x v="8"/>
  </r>
  <r>
    <x v="9"/>
    <x v="1"/>
    <x v="3"/>
    <x v="5"/>
    <x v="19"/>
    <x v="9"/>
    <x v="8"/>
    <x v="5"/>
    <x v="7"/>
    <x v="9"/>
    <x v="8"/>
  </r>
  <r>
    <x v="9"/>
    <x v="1"/>
    <x v="3"/>
    <x v="0"/>
    <x v="19"/>
    <x v="9"/>
    <x v="0"/>
    <x v="5"/>
    <x v="7"/>
    <x v="9"/>
    <x v="8"/>
  </r>
  <r>
    <x v="9"/>
    <x v="1"/>
    <x v="3"/>
    <x v="3"/>
    <x v="19"/>
    <x v="9"/>
    <x v="8"/>
    <x v="5"/>
    <x v="7"/>
    <x v="9"/>
    <x v="8"/>
  </r>
  <r>
    <x v="10"/>
    <x v="1"/>
    <x v="4"/>
    <x v="2"/>
    <x v="19"/>
    <x v="9"/>
    <x v="8"/>
    <x v="5"/>
    <x v="7"/>
    <x v="9"/>
    <x v="0"/>
  </r>
  <r>
    <x v="10"/>
    <x v="1"/>
    <x v="4"/>
    <x v="4"/>
    <x v="19"/>
    <x v="9"/>
    <x v="8"/>
    <x v="5"/>
    <x v="7"/>
    <x v="9"/>
    <x v="8"/>
  </r>
  <r>
    <x v="10"/>
    <x v="1"/>
    <x v="4"/>
    <x v="1"/>
    <x v="19"/>
    <x v="9"/>
    <x v="8"/>
    <x v="5"/>
    <x v="7"/>
    <x v="9"/>
    <x v="8"/>
  </r>
  <r>
    <x v="10"/>
    <x v="1"/>
    <x v="4"/>
    <x v="5"/>
    <x v="19"/>
    <x v="9"/>
    <x v="8"/>
    <x v="5"/>
    <x v="7"/>
    <x v="9"/>
    <x v="8"/>
  </r>
  <r>
    <x v="10"/>
    <x v="1"/>
    <x v="4"/>
    <x v="0"/>
    <x v="19"/>
    <x v="9"/>
    <x v="0"/>
    <x v="1"/>
    <x v="0"/>
    <x v="0"/>
    <x v="8"/>
  </r>
  <r>
    <x v="10"/>
    <x v="1"/>
    <x v="4"/>
    <x v="3"/>
    <x v="19"/>
    <x v="9"/>
    <x v="8"/>
    <x v="5"/>
    <x v="7"/>
    <x v="9"/>
    <x v="8"/>
  </r>
  <r>
    <x v="10"/>
    <x v="1"/>
    <x v="5"/>
    <x v="2"/>
    <x v="19"/>
    <x v="9"/>
    <x v="8"/>
    <x v="5"/>
    <x v="7"/>
    <x v="9"/>
    <x v="4"/>
  </r>
  <r>
    <x v="10"/>
    <x v="1"/>
    <x v="5"/>
    <x v="4"/>
    <x v="19"/>
    <x v="9"/>
    <x v="8"/>
    <x v="5"/>
    <x v="7"/>
    <x v="9"/>
    <x v="8"/>
  </r>
  <r>
    <x v="10"/>
    <x v="1"/>
    <x v="5"/>
    <x v="1"/>
    <x v="19"/>
    <x v="9"/>
    <x v="8"/>
    <x v="5"/>
    <x v="7"/>
    <x v="9"/>
    <x v="8"/>
  </r>
  <r>
    <x v="10"/>
    <x v="1"/>
    <x v="5"/>
    <x v="5"/>
    <x v="19"/>
    <x v="9"/>
    <x v="8"/>
    <x v="0"/>
    <x v="7"/>
    <x v="9"/>
    <x v="8"/>
  </r>
  <r>
    <x v="10"/>
    <x v="1"/>
    <x v="5"/>
    <x v="0"/>
    <x v="19"/>
    <x v="9"/>
    <x v="8"/>
    <x v="5"/>
    <x v="7"/>
    <x v="9"/>
    <x v="8"/>
  </r>
  <r>
    <x v="10"/>
    <x v="1"/>
    <x v="5"/>
    <x v="3"/>
    <x v="19"/>
    <x v="9"/>
    <x v="8"/>
    <x v="5"/>
    <x v="7"/>
    <x v="9"/>
    <x v="8"/>
  </r>
  <r>
    <x v="10"/>
    <x v="1"/>
    <x v="6"/>
    <x v="2"/>
    <x v="19"/>
    <x v="9"/>
    <x v="8"/>
    <x v="5"/>
    <x v="7"/>
    <x v="9"/>
    <x v="2"/>
  </r>
  <r>
    <x v="10"/>
    <x v="1"/>
    <x v="6"/>
    <x v="4"/>
    <x v="2"/>
    <x v="9"/>
    <x v="8"/>
    <x v="5"/>
    <x v="7"/>
    <x v="9"/>
    <x v="8"/>
  </r>
  <r>
    <x v="10"/>
    <x v="1"/>
    <x v="6"/>
    <x v="1"/>
    <x v="19"/>
    <x v="9"/>
    <x v="8"/>
    <x v="5"/>
    <x v="7"/>
    <x v="9"/>
    <x v="8"/>
  </r>
  <r>
    <x v="10"/>
    <x v="1"/>
    <x v="6"/>
    <x v="5"/>
    <x v="19"/>
    <x v="9"/>
    <x v="8"/>
    <x v="5"/>
    <x v="7"/>
    <x v="9"/>
    <x v="8"/>
  </r>
  <r>
    <x v="10"/>
    <x v="1"/>
    <x v="6"/>
    <x v="0"/>
    <x v="19"/>
    <x v="9"/>
    <x v="8"/>
    <x v="2"/>
    <x v="2"/>
    <x v="9"/>
    <x v="8"/>
  </r>
  <r>
    <x v="10"/>
    <x v="1"/>
    <x v="6"/>
    <x v="3"/>
    <x v="19"/>
    <x v="9"/>
    <x v="8"/>
    <x v="5"/>
    <x v="7"/>
    <x v="9"/>
    <x v="8"/>
  </r>
  <r>
    <x v="10"/>
    <x v="1"/>
    <x v="7"/>
    <x v="2"/>
    <x v="19"/>
    <x v="9"/>
    <x v="8"/>
    <x v="5"/>
    <x v="7"/>
    <x v="9"/>
    <x v="2"/>
  </r>
  <r>
    <x v="10"/>
    <x v="1"/>
    <x v="7"/>
    <x v="4"/>
    <x v="0"/>
    <x v="9"/>
    <x v="8"/>
    <x v="5"/>
    <x v="7"/>
    <x v="9"/>
    <x v="8"/>
  </r>
  <r>
    <x v="10"/>
    <x v="1"/>
    <x v="7"/>
    <x v="1"/>
    <x v="19"/>
    <x v="9"/>
    <x v="8"/>
    <x v="5"/>
    <x v="7"/>
    <x v="9"/>
    <x v="8"/>
  </r>
  <r>
    <x v="10"/>
    <x v="1"/>
    <x v="7"/>
    <x v="5"/>
    <x v="19"/>
    <x v="9"/>
    <x v="8"/>
    <x v="5"/>
    <x v="0"/>
    <x v="9"/>
    <x v="8"/>
  </r>
  <r>
    <x v="10"/>
    <x v="1"/>
    <x v="7"/>
    <x v="0"/>
    <x v="19"/>
    <x v="1"/>
    <x v="0"/>
    <x v="1"/>
    <x v="0"/>
    <x v="9"/>
    <x v="8"/>
  </r>
  <r>
    <x v="10"/>
    <x v="1"/>
    <x v="7"/>
    <x v="3"/>
    <x v="1"/>
    <x v="9"/>
    <x v="8"/>
    <x v="5"/>
    <x v="7"/>
    <x v="9"/>
    <x v="8"/>
  </r>
  <r>
    <x v="10"/>
    <x v="1"/>
    <x v="8"/>
    <x v="2"/>
    <x v="19"/>
    <x v="9"/>
    <x v="8"/>
    <x v="5"/>
    <x v="7"/>
    <x v="9"/>
    <x v="0"/>
  </r>
  <r>
    <x v="10"/>
    <x v="1"/>
    <x v="8"/>
    <x v="4"/>
    <x v="19"/>
    <x v="9"/>
    <x v="8"/>
    <x v="5"/>
    <x v="7"/>
    <x v="9"/>
    <x v="8"/>
  </r>
  <r>
    <x v="10"/>
    <x v="1"/>
    <x v="8"/>
    <x v="1"/>
    <x v="19"/>
    <x v="9"/>
    <x v="8"/>
    <x v="5"/>
    <x v="7"/>
    <x v="9"/>
    <x v="8"/>
  </r>
  <r>
    <x v="10"/>
    <x v="1"/>
    <x v="8"/>
    <x v="5"/>
    <x v="19"/>
    <x v="9"/>
    <x v="8"/>
    <x v="5"/>
    <x v="7"/>
    <x v="9"/>
    <x v="8"/>
  </r>
  <r>
    <x v="10"/>
    <x v="1"/>
    <x v="8"/>
    <x v="0"/>
    <x v="19"/>
    <x v="0"/>
    <x v="1"/>
    <x v="5"/>
    <x v="7"/>
    <x v="1"/>
    <x v="8"/>
  </r>
  <r>
    <x v="10"/>
    <x v="1"/>
    <x v="8"/>
    <x v="3"/>
    <x v="19"/>
    <x v="9"/>
    <x v="8"/>
    <x v="5"/>
    <x v="7"/>
    <x v="9"/>
    <x v="8"/>
  </r>
  <r>
    <x v="10"/>
    <x v="1"/>
    <x v="9"/>
    <x v="2"/>
    <x v="19"/>
    <x v="9"/>
    <x v="8"/>
    <x v="5"/>
    <x v="7"/>
    <x v="9"/>
    <x v="0"/>
  </r>
  <r>
    <x v="10"/>
    <x v="1"/>
    <x v="9"/>
    <x v="4"/>
    <x v="19"/>
    <x v="9"/>
    <x v="8"/>
    <x v="5"/>
    <x v="7"/>
    <x v="9"/>
    <x v="8"/>
  </r>
  <r>
    <x v="10"/>
    <x v="1"/>
    <x v="9"/>
    <x v="1"/>
    <x v="19"/>
    <x v="9"/>
    <x v="8"/>
    <x v="5"/>
    <x v="7"/>
    <x v="9"/>
    <x v="8"/>
  </r>
  <r>
    <x v="10"/>
    <x v="1"/>
    <x v="9"/>
    <x v="5"/>
    <x v="19"/>
    <x v="9"/>
    <x v="8"/>
    <x v="0"/>
    <x v="7"/>
    <x v="0"/>
    <x v="8"/>
  </r>
  <r>
    <x v="10"/>
    <x v="1"/>
    <x v="9"/>
    <x v="0"/>
    <x v="19"/>
    <x v="9"/>
    <x v="3"/>
    <x v="1"/>
    <x v="7"/>
    <x v="5"/>
    <x v="8"/>
  </r>
  <r>
    <x v="10"/>
    <x v="1"/>
    <x v="9"/>
    <x v="3"/>
    <x v="19"/>
    <x v="9"/>
    <x v="8"/>
    <x v="5"/>
    <x v="7"/>
    <x v="9"/>
    <x v="8"/>
  </r>
  <r>
    <x v="7"/>
    <x v="4"/>
    <x v="0"/>
    <x v="2"/>
    <x v="19"/>
    <x v="9"/>
    <x v="8"/>
    <x v="5"/>
    <x v="7"/>
    <x v="9"/>
    <x v="0"/>
  </r>
  <r>
    <x v="7"/>
    <x v="4"/>
    <x v="0"/>
    <x v="4"/>
    <x v="3"/>
    <x v="0"/>
    <x v="8"/>
    <x v="5"/>
    <x v="7"/>
    <x v="9"/>
    <x v="8"/>
  </r>
  <r>
    <x v="7"/>
    <x v="4"/>
    <x v="0"/>
    <x v="1"/>
    <x v="19"/>
    <x v="0"/>
    <x v="8"/>
    <x v="5"/>
    <x v="7"/>
    <x v="9"/>
    <x v="8"/>
  </r>
  <r>
    <x v="7"/>
    <x v="4"/>
    <x v="0"/>
    <x v="5"/>
    <x v="19"/>
    <x v="9"/>
    <x v="8"/>
    <x v="5"/>
    <x v="1"/>
    <x v="9"/>
    <x v="8"/>
  </r>
  <r>
    <x v="7"/>
    <x v="4"/>
    <x v="0"/>
    <x v="0"/>
    <x v="19"/>
    <x v="2"/>
    <x v="1"/>
    <x v="0"/>
    <x v="0"/>
    <x v="1"/>
    <x v="8"/>
  </r>
  <r>
    <x v="7"/>
    <x v="4"/>
    <x v="0"/>
    <x v="3"/>
    <x v="19"/>
    <x v="9"/>
    <x v="8"/>
    <x v="5"/>
    <x v="7"/>
    <x v="9"/>
    <x v="8"/>
  </r>
  <r>
    <x v="7"/>
    <x v="4"/>
    <x v="1"/>
    <x v="2"/>
    <x v="19"/>
    <x v="9"/>
    <x v="8"/>
    <x v="5"/>
    <x v="7"/>
    <x v="9"/>
    <x v="0"/>
  </r>
  <r>
    <x v="7"/>
    <x v="4"/>
    <x v="1"/>
    <x v="4"/>
    <x v="2"/>
    <x v="6"/>
    <x v="0"/>
    <x v="5"/>
    <x v="7"/>
    <x v="9"/>
    <x v="8"/>
  </r>
  <r>
    <x v="7"/>
    <x v="4"/>
    <x v="1"/>
    <x v="1"/>
    <x v="19"/>
    <x v="9"/>
    <x v="8"/>
    <x v="5"/>
    <x v="7"/>
    <x v="9"/>
    <x v="8"/>
  </r>
  <r>
    <x v="7"/>
    <x v="4"/>
    <x v="1"/>
    <x v="5"/>
    <x v="19"/>
    <x v="9"/>
    <x v="1"/>
    <x v="5"/>
    <x v="0"/>
    <x v="9"/>
    <x v="8"/>
  </r>
  <r>
    <x v="7"/>
    <x v="4"/>
    <x v="1"/>
    <x v="0"/>
    <x v="19"/>
    <x v="9"/>
    <x v="0"/>
    <x v="5"/>
    <x v="1"/>
    <x v="9"/>
    <x v="8"/>
  </r>
  <r>
    <x v="7"/>
    <x v="4"/>
    <x v="1"/>
    <x v="3"/>
    <x v="19"/>
    <x v="9"/>
    <x v="8"/>
    <x v="5"/>
    <x v="7"/>
    <x v="9"/>
    <x v="8"/>
  </r>
  <r>
    <x v="7"/>
    <x v="4"/>
    <x v="2"/>
    <x v="2"/>
    <x v="11"/>
    <x v="0"/>
    <x v="8"/>
    <x v="5"/>
    <x v="7"/>
    <x v="9"/>
    <x v="0"/>
  </r>
  <r>
    <x v="7"/>
    <x v="4"/>
    <x v="2"/>
    <x v="4"/>
    <x v="19"/>
    <x v="1"/>
    <x v="8"/>
    <x v="5"/>
    <x v="7"/>
    <x v="9"/>
    <x v="8"/>
  </r>
  <r>
    <x v="7"/>
    <x v="4"/>
    <x v="2"/>
    <x v="1"/>
    <x v="19"/>
    <x v="9"/>
    <x v="8"/>
    <x v="5"/>
    <x v="7"/>
    <x v="9"/>
    <x v="8"/>
  </r>
  <r>
    <x v="7"/>
    <x v="4"/>
    <x v="2"/>
    <x v="5"/>
    <x v="19"/>
    <x v="9"/>
    <x v="8"/>
    <x v="5"/>
    <x v="7"/>
    <x v="9"/>
    <x v="8"/>
  </r>
  <r>
    <x v="7"/>
    <x v="4"/>
    <x v="2"/>
    <x v="0"/>
    <x v="1"/>
    <x v="0"/>
    <x v="0"/>
    <x v="3"/>
    <x v="1"/>
    <x v="1"/>
    <x v="8"/>
  </r>
  <r>
    <x v="7"/>
    <x v="4"/>
    <x v="2"/>
    <x v="3"/>
    <x v="19"/>
    <x v="9"/>
    <x v="8"/>
    <x v="5"/>
    <x v="7"/>
    <x v="9"/>
    <x v="8"/>
  </r>
  <r>
    <x v="7"/>
    <x v="4"/>
    <x v="3"/>
    <x v="2"/>
    <x v="5"/>
    <x v="9"/>
    <x v="8"/>
    <x v="5"/>
    <x v="7"/>
    <x v="9"/>
    <x v="0"/>
  </r>
  <r>
    <x v="7"/>
    <x v="4"/>
    <x v="3"/>
    <x v="4"/>
    <x v="2"/>
    <x v="0"/>
    <x v="8"/>
    <x v="5"/>
    <x v="7"/>
    <x v="9"/>
    <x v="8"/>
  </r>
  <r>
    <x v="7"/>
    <x v="4"/>
    <x v="3"/>
    <x v="1"/>
    <x v="19"/>
    <x v="9"/>
    <x v="8"/>
    <x v="5"/>
    <x v="7"/>
    <x v="9"/>
    <x v="8"/>
  </r>
  <r>
    <x v="7"/>
    <x v="4"/>
    <x v="3"/>
    <x v="5"/>
    <x v="19"/>
    <x v="9"/>
    <x v="8"/>
    <x v="5"/>
    <x v="7"/>
    <x v="9"/>
    <x v="8"/>
  </r>
  <r>
    <x v="7"/>
    <x v="4"/>
    <x v="3"/>
    <x v="0"/>
    <x v="1"/>
    <x v="9"/>
    <x v="8"/>
    <x v="5"/>
    <x v="2"/>
    <x v="1"/>
    <x v="8"/>
  </r>
  <r>
    <x v="7"/>
    <x v="4"/>
    <x v="3"/>
    <x v="3"/>
    <x v="19"/>
    <x v="9"/>
    <x v="8"/>
    <x v="5"/>
    <x v="7"/>
    <x v="9"/>
    <x v="8"/>
  </r>
  <r>
    <x v="8"/>
    <x v="4"/>
    <x v="4"/>
    <x v="2"/>
    <x v="10"/>
    <x v="0"/>
    <x v="8"/>
    <x v="5"/>
    <x v="7"/>
    <x v="9"/>
    <x v="3"/>
  </r>
  <r>
    <x v="8"/>
    <x v="4"/>
    <x v="4"/>
    <x v="4"/>
    <x v="6"/>
    <x v="9"/>
    <x v="8"/>
    <x v="5"/>
    <x v="7"/>
    <x v="9"/>
    <x v="8"/>
  </r>
  <r>
    <x v="8"/>
    <x v="4"/>
    <x v="4"/>
    <x v="1"/>
    <x v="19"/>
    <x v="9"/>
    <x v="8"/>
    <x v="5"/>
    <x v="7"/>
    <x v="9"/>
    <x v="8"/>
  </r>
  <r>
    <x v="8"/>
    <x v="4"/>
    <x v="4"/>
    <x v="5"/>
    <x v="19"/>
    <x v="9"/>
    <x v="8"/>
    <x v="5"/>
    <x v="7"/>
    <x v="9"/>
    <x v="8"/>
  </r>
  <r>
    <x v="8"/>
    <x v="4"/>
    <x v="4"/>
    <x v="0"/>
    <x v="19"/>
    <x v="0"/>
    <x v="0"/>
    <x v="3"/>
    <x v="1"/>
    <x v="3"/>
    <x v="8"/>
  </r>
  <r>
    <x v="8"/>
    <x v="4"/>
    <x v="4"/>
    <x v="3"/>
    <x v="19"/>
    <x v="9"/>
    <x v="8"/>
    <x v="5"/>
    <x v="7"/>
    <x v="9"/>
    <x v="8"/>
  </r>
  <r>
    <x v="8"/>
    <x v="4"/>
    <x v="5"/>
    <x v="2"/>
    <x v="9"/>
    <x v="9"/>
    <x v="8"/>
    <x v="5"/>
    <x v="7"/>
    <x v="9"/>
    <x v="2"/>
  </r>
  <r>
    <x v="8"/>
    <x v="4"/>
    <x v="5"/>
    <x v="4"/>
    <x v="3"/>
    <x v="0"/>
    <x v="8"/>
    <x v="5"/>
    <x v="7"/>
    <x v="9"/>
    <x v="8"/>
  </r>
  <r>
    <x v="8"/>
    <x v="4"/>
    <x v="5"/>
    <x v="1"/>
    <x v="19"/>
    <x v="9"/>
    <x v="8"/>
    <x v="5"/>
    <x v="7"/>
    <x v="9"/>
    <x v="8"/>
  </r>
  <r>
    <x v="8"/>
    <x v="4"/>
    <x v="5"/>
    <x v="5"/>
    <x v="0"/>
    <x v="9"/>
    <x v="8"/>
    <x v="5"/>
    <x v="7"/>
    <x v="9"/>
    <x v="8"/>
  </r>
  <r>
    <x v="8"/>
    <x v="4"/>
    <x v="5"/>
    <x v="0"/>
    <x v="19"/>
    <x v="9"/>
    <x v="8"/>
    <x v="5"/>
    <x v="7"/>
    <x v="9"/>
    <x v="8"/>
  </r>
  <r>
    <x v="8"/>
    <x v="4"/>
    <x v="5"/>
    <x v="3"/>
    <x v="19"/>
    <x v="9"/>
    <x v="8"/>
    <x v="5"/>
    <x v="7"/>
    <x v="9"/>
    <x v="8"/>
  </r>
  <r>
    <x v="8"/>
    <x v="4"/>
    <x v="6"/>
    <x v="2"/>
    <x v="7"/>
    <x v="4"/>
    <x v="8"/>
    <x v="5"/>
    <x v="7"/>
    <x v="9"/>
    <x v="6"/>
  </r>
  <r>
    <x v="8"/>
    <x v="4"/>
    <x v="6"/>
    <x v="4"/>
    <x v="6"/>
    <x v="9"/>
    <x v="8"/>
    <x v="5"/>
    <x v="7"/>
    <x v="9"/>
    <x v="8"/>
  </r>
  <r>
    <x v="8"/>
    <x v="4"/>
    <x v="6"/>
    <x v="1"/>
    <x v="19"/>
    <x v="9"/>
    <x v="8"/>
    <x v="2"/>
    <x v="3"/>
    <x v="9"/>
    <x v="8"/>
  </r>
  <r>
    <x v="8"/>
    <x v="4"/>
    <x v="6"/>
    <x v="5"/>
    <x v="0"/>
    <x v="9"/>
    <x v="1"/>
    <x v="5"/>
    <x v="7"/>
    <x v="9"/>
    <x v="8"/>
  </r>
  <r>
    <x v="8"/>
    <x v="4"/>
    <x v="6"/>
    <x v="0"/>
    <x v="19"/>
    <x v="9"/>
    <x v="8"/>
    <x v="5"/>
    <x v="7"/>
    <x v="9"/>
    <x v="8"/>
  </r>
  <r>
    <x v="8"/>
    <x v="4"/>
    <x v="6"/>
    <x v="3"/>
    <x v="19"/>
    <x v="9"/>
    <x v="8"/>
    <x v="5"/>
    <x v="7"/>
    <x v="9"/>
    <x v="8"/>
  </r>
  <r>
    <x v="8"/>
    <x v="4"/>
    <x v="7"/>
    <x v="2"/>
    <x v="2"/>
    <x v="9"/>
    <x v="8"/>
    <x v="5"/>
    <x v="7"/>
    <x v="9"/>
    <x v="7"/>
  </r>
  <r>
    <x v="8"/>
    <x v="4"/>
    <x v="7"/>
    <x v="4"/>
    <x v="2"/>
    <x v="4"/>
    <x v="1"/>
    <x v="5"/>
    <x v="7"/>
    <x v="9"/>
    <x v="8"/>
  </r>
  <r>
    <x v="8"/>
    <x v="4"/>
    <x v="7"/>
    <x v="1"/>
    <x v="19"/>
    <x v="0"/>
    <x v="8"/>
    <x v="5"/>
    <x v="7"/>
    <x v="9"/>
    <x v="8"/>
  </r>
  <r>
    <x v="8"/>
    <x v="4"/>
    <x v="7"/>
    <x v="5"/>
    <x v="0"/>
    <x v="9"/>
    <x v="8"/>
    <x v="0"/>
    <x v="7"/>
    <x v="9"/>
    <x v="8"/>
  </r>
  <r>
    <x v="8"/>
    <x v="4"/>
    <x v="7"/>
    <x v="0"/>
    <x v="19"/>
    <x v="0"/>
    <x v="8"/>
    <x v="5"/>
    <x v="0"/>
    <x v="3"/>
    <x v="8"/>
  </r>
  <r>
    <x v="8"/>
    <x v="4"/>
    <x v="7"/>
    <x v="3"/>
    <x v="19"/>
    <x v="9"/>
    <x v="8"/>
    <x v="5"/>
    <x v="7"/>
    <x v="9"/>
    <x v="8"/>
  </r>
  <r>
    <x v="8"/>
    <x v="4"/>
    <x v="8"/>
    <x v="2"/>
    <x v="10"/>
    <x v="9"/>
    <x v="8"/>
    <x v="5"/>
    <x v="7"/>
    <x v="9"/>
    <x v="1"/>
  </r>
  <r>
    <x v="8"/>
    <x v="4"/>
    <x v="8"/>
    <x v="4"/>
    <x v="1"/>
    <x v="9"/>
    <x v="8"/>
    <x v="5"/>
    <x v="7"/>
    <x v="9"/>
    <x v="8"/>
  </r>
  <r>
    <x v="8"/>
    <x v="4"/>
    <x v="8"/>
    <x v="1"/>
    <x v="19"/>
    <x v="9"/>
    <x v="8"/>
    <x v="5"/>
    <x v="7"/>
    <x v="9"/>
    <x v="8"/>
  </r>
  <r>
    <x v="8"/>
    <x v="4"/>
    <x v="8"/>
    <x v="5"/>
    <x v="19"/>
    <x v="9"/>
    <x v="8"/>
    <x v="5"/>
    <x v="7"/>
    <x v="9"/>
    <x v="8"/>
  </r>
  <r>
    <x v="8"/>
    <x v="4"/>
    <x v="8"/>
    <x v="0"/>
    <x v="19"/>
    <x v="9"/>
    <x v="8"/>
    <x v="5"/>
    <x v="1"/>
    <x v="9"/>
    <x v="8"/>
  </r>
  <r>
    <x v="8"/>
    <x v="4"/>
    <x v="8"/>
    <x v="3"/>
    <x v="4"/>
    <x v="9"/>
    <x v="8"/>
    <x v="5"/>
    <x v="7"/>
    <x v="9"/>
    <x v="8"/>
  </r>
  <r>
    <x v="8"/>
    <x v="4"/>
    <x v="9"/>
    <x v="2"/>
    <x v="14"/>
    <x v="9"/>
    <x v="8"/>
    <x v="5"/>
    <x v="7"/>
    <x v="9"/>
    <x v="0"/>
  </r>
  <r>
    <x v="8"/>
    <x v="4"/>
    <x v="9"/>
    <x v="4"/>
    <x v="0"/>
    <x v="9"/>
    <x v="1"/>
    <x v="5"/>
    <x v="7"/>
    <x v="9"/>
    <x v="8"/>
  </r>
  <r>
    <x v="8"/>
    <x v="4"/>
    <x v="9"/>
    <x v="1"/>
    <x v="19"/>
    <x v="9"/>
    <x v="8"/>
    <x v="5"/>
    <x v="7"/>
    <x v="9"/>
    <x v="8"/>
  </r>
  <r>
    <x v="8"/>
    <x v="4"/>
    <x v="9"/>
    <x v="5"/>
    <x v="19"/>
    <x v="9"/>
    <x v="8"/>
    <x v="5"/>
    <x v="7"/>
    <x v="9"/>
    <x v="8"/>
  </r>
  <r>
    <x v="8"/>
    <x v="4"/>
    <x v="9"/>
    <x v="0"/>
    <x v="19"/>
    <x v="9"/>
    <x v="8"/>
    <x v="5"/>
    <x v="7"/>
    <x v="9"/>
    <x v="8"/>
  </r>
  <r>
    <x v="8"/>
    <x v="4"/>
    <x v="9"/>
    <x v="3"/>
    <x v="19"/>
    <x v="9"/>
    <x v="8"/>
    <x v="5"/>
    <x v="7"/>
    <x v="9"/>
    <x v="8"/>
  </r>
  <r>
    <x v="3"/>
    <x v="0"/>
    <x v="0"/>
    <x v="2"/>
    <x v="12"/>
    <x v="9"/>
    <x v="8"/>
    <x v="5"/>
    <x v="7"/>
    <x v="9"/>
    <x v="0"/>
  </r>
  <r>
    <x v="3"/>
    <x v="0"/>
    <x v="0"/>
    <x v="4"/>
    <x v="1"/>
    <x v="0"/>
    <x v="8"/>
    <x v="5"/>
    <x v="7"/>
    <x v="9"/>
    <x v="8"/>
  </r>
  <r>
    <x v="3"/>
    <x v="0"/>
    <x v="0"/>
    <x v="1"/>
    <x v="19"/>
    <x v="9"/>
    <x v="8"/>
    <x v="0"/>
    <x v="7"/>
    <x v="9"/>
    <x v="8"/>
  </r>
  <r>
    <x v="3"/>
    <x v="0"/>
    <x v="0"/>
    <x v="5"/>
    <x v="0"/>
    <x v="0"/>
    <x v="8"/>
    <x v="5"/>
    <x v="7"/>
    <x v="9"/>
    <x v="8"/>
  </r>
  <r>
    <x v="3"/>
    <x v="0"/>
    <x v="0"/>
    <x v="0"/>
    <x v="1"/>
    <x v="4"/>
    <x v="2"/>
    <x v="5"/>
    <x v="7"/>
    <x v="9"/>
    <x v="8"/>
  </r>
  <r>
    <x v="3"/>
    <x v="0"/>
    <x v="0"/>
    <x v="3"/>
    <x v="3"/>
    <x v="9"/>
    <x v="8"/>
    <x v="5"/>
    <x v="7"/>
    <x v="9"/>
    <x v="8"/>
  </r>
  <r>
    <x v="3"/>
    <x v="0"/>
    <x v="1"/>
    <x v="2"/>
    <x v="4"/>
    <x v="9"/>
    <x v="8"/>
    <x v="5"/>
    <x v="7"/>
    <x v="9"/>
    <x v="2"/>
  </r>
  <r>
    <x v="3"/>
    <x v="0"/>
    <x v="1"/>
    <x v="4"/>
    <x v="4"/>
    <x v="0"/>
    <x v="8"/>
    <x v="5"/>
    <x v="7"/>
    <x v="9"/>
    <x v="8"/>
  </r>
  <r>
    <x v="3"/>
    <x v="0"/>
    <x v="1"/>
    <x v="1"/>
    <x v="19"/>
    <x v="0"/>
    <x v="0"/>
    <x v="5"/>
    <x v="7"/>
    <x v="9"/>
    <x v="8"/>
  </r>
  <r>
    <x v="3"/>
    <x v="0"/>
    <x v="1"/>
    <x v="5"/>
    <x v="0"/>
    <x v="2"/>
    <x v="8"/>
    <x v="5"/>
    <x v="1"/>
    <x v="9"/>
    <x v="8"/>
  </r>
  <r>
    <x v="3"/>
    <x v="0"/>
    <x v="1"/>
    <x v="0"/>
    <x v="19"/>
    <x v="0"/>
    <x v="3"/>
    <x v="2"/>
    <x v="1"/>
    <x v="9"/>
    <x v="8"/>
  </r>
  <r>
    <x v="3"/>
    <x v="0"/>
    <x v="1"/>
    <x v="3"/>
    <x v="19"/>
    <x v="9"/>
    <x v="8"/>
    <x v="5"/>
    <x v="7"/>
    <x v="9"/>
    <x v="8"/>
  </r>
  <r>
    <x v="4"/>
    <x v="0"/>
    <x v="2"/>
    <x v="2"/>
    <x v="10"/>
    <x v="0"/>
    <x v="8"/>
    <x v="5"/>
    <x v="7"/>
    <x v="9"/>
    <x v="0"/>
  </r>
  <r>
    <x v="4"/>
    <x v="0"/>
    <x v="2"/>
    <x v="4"/>
    <x v="8"/>
    <x v="1"/>
    <x v="8"/>
    <x v="5"/>
    <x v="7"/>
    <x v="9"/>
    <x v="8"/>
  </r>
  <r>
    <x v="4"/>
    <x v="0"/>
    <x v="2"/>
    <x v="1"/>
    <x v="19"/>
    <x v="9"/>
    <x v="8"/>
    <x v="5"/>
    <x v="7"/>
    <x v="9"/>
    <x v="8"/>
  </r>
  <r>
    <x v="4"/>
    <x v="0"/>
    <x v="2"/>
    <x v="5"/>
    <x v="19"/>
    <x v="0"/>
    <x v="8"/>
    <x v="5"/>
    <x v="2"/>
    <x v="0"/>
    <x v="8"/>
  </r>
  <r>
    <x v="4"/>
    <x v="0"/>
    <x v="2"/>
    <x v="0"/>
    <x v="1"/>
    <x v="1"/>
    <x v="2"/>
    <x v="3"/>
    <x v="7"/>
    <x v="4"/>
    <x v="8"/>
  </r>
  <r>
    <x v="4"/>
    <x v="0"/>
    <x v="2"/>
    <x v="3"/>
    <x v="19"/>
    <x v="9"/>
    <x v="8"/>
    <x v="5"/>
    <x v="7"/>
    <x v="9"/>
    <x v="8"/>
  </r>
  <r>
    <x v="4"/>
    <x v="0"/>
    <x v="3"/>
    <x v="2"/>
    <x v="9"/>
    <x v="2"/>
    <x v="8"/>
    <x v="5"/>
    <x v="7"/>
    <x v="9"/>
    <x v="0"/>
  </r>
  <r>
    <x v="4"/>
    <x v="0"/>
    <x v="3"/>
    <x v="4"/>
    <x v="3"/>
    <x v="1"/>
    <x v="8"/>
    <x v="5"/>
    <x v="7"/>
    <x v="9"/>
    <x v="8"/>
  </r>
  <r>
    <x v="4"/>
    <x v="0"/>
    <x v="3"/>
    <x v="1"/>
    <x v="19"/>
    <x v="2"/>
    <x v="0"/>
    <x v="5"/>
    <x v="7"/>
    <x v="9"/>
    <x v="8"/>
  </r>
  <r>
    <x v="4"/>
    <x v="0"/>
    <x v="3"/>
    <x v="5"/>
    <x v="19"/>
    <x v="0"/>
    <x v="8"/>
    <x v="5"/>
    <x v="7"/>
    <x v="9"/>
    <x v="8"/>
  </r>
  <r>
    <x v="4"/>
    <x v="0"/>
    <x v="3"/>
    <x v="0"/>
    <x v="19"/>
    <x v="1"/>
    <x v="0"/>
    <x v="5"/>
    <x v="0"/>
    <x v="9"/>
    <x v="8"/>
  </r>
  <r>
    <x v="4"/>
    <x v="0"/>
    <x v="3"/>
    <x v="3"/>
    <x v="2"/>
    <x v="9"/>
    <x v="8"/>
    <x v="5"/>
    <x v="7"/>
    <x v="9"/>
    <x v="8"/>
  </r>
  <r>
    <x v="4"/>
    <x v="0"/>
    <x v="4"/>
    <x v="2"/>
    <x v="15"/>
    <x v="9"/>
    <x v="8"/>
    <x v="5"/>
    <x v="7"/>
    <x v="9"/>
    <x v="0"/>
  </r>
  <r>
    <x v="4"/>
    <x v="0"/>
    <x v="4"/>
    <x v="4"/>
    <x v="7"/>
    <x v="0"/>
    <x v="8"/>
    <x v="5"/>
    <x v="7"/>
    <x v="9"/>
    <x v="8"/>
  </r>
  <r>
    <x v="4"/>
    <x v="0"/>
    <x v="4"/>
    <x v="1"/>
    <x v="19"/>
    <x v="9"/>
    <x v="8"/>
    <x v="0"/>
    <x v="7"/>
    <x v="9"/>
    <x v="8"/>
  </r>
  <r>
    <x v="4"/>
    <x v="0"/>
    <x v="4"/>
    <x v="5"/>
    <x v="19"/>
    <x v="9"/>
    <x v="8"/>
    <x v="5"/>
    <x v="7"/>
    <x v="9"/>
    <x v="8"/>
  </r>
  <r>
    <x v="4"/>
    <x v="0"/>
    <x v="4"/>
    <x v="0"/>
    <x v="0"/>
    <x v="9"/>
    <x v="8"/>
    <x v="2"/>
    <x v="1"/>
    <x v="9"/>
    <x v="8"/>
  </r>
  <r>
    <x v="4"/>
    <x v="0"/>
    <x v="4"/>
    <x v="3"/>
    <x v="19"/>
    <x v="9"/>
    <x v="8"/>
    <x v="5"/>
    <x v="7"/>
    <x v="9"/>
    <x v="8"/>
  </r>
  <r>
    <x v="5"/>
    <x v="0"/>
    <x v="5"/>
    <x v="2"/>
    <x v="0"/>
    <x v="9"/>
    <x v="8"/>
    <x v="5"/>
    <x v="7"/>
    <x v="9"/>
    <x v="0"/>
  </r>
  <r>
    <x v="5"/>
    <x v="0"/>
    <x v="5"/>
    <x v="4"/>
    <x v="2"/>
    <x v="2"/>
    <x v="8"/>
    <x v="5"/>
    <x v="7"/>
    <x v="9"/>
    <x v="8"/>
  </r>
  <r>
    <x v="5"/>
    <x v="0"/>
    <x v="5"/>
    <x v="1"/>
    <x v="19"/>
    <x v="9"/>
    <x v="8"/>
    <x v="5"/>
    <x v="7"/>
    <x v="9"/>
    <x v="8"/>
  </r>
  <r>
    <x v="5"/>
    <x v="0"/>
    <x v="5"/>
    <x v="5"/>
    <x v="1"/>
    <x v="1"/>
    <x v="7"/>
    <x v="4"/>
    <x v="7"/>
    <x v="3"/>
    <x v="8"/>
  </r>
  <r>
    <x v="5"/>
    <x v="0"/>
    <x v="5"/>
    <x v="0"/>
    <x v="19"/>
    <x v="9"/>
    <x v="1"/>
    <x v="1"/>
    <x v="7"/>
    <x v="4"/>
    <x v="8"/>
  </r>
  <r>
    <x v="5"/>
    <x v="0"/>
    <x v="5"/>
    <x v="3"/>
    <x v="19"/>
    <x v="9"/>
    <x v="8"/>
    <x v="5"/>
    <x v="7"/>
    <x v="9"/>
    <x v="8"/>
  </r>
  <r>
    <x v="5"/>
    <x v="0"/>
    <x v="6"/>
    <x v="2"/>
    <x v="14"/>
    <x v="1"/>
    <x v="2"/>
    <x v="5"/>
    <x v="7"/>
    <x v="9"/>
    <x v="2"/>
  </r>
  <r>
    <x v="5"/>
    <x v="0"/>
    <x v="6"/>
    <x v="4"/>
    <x v="11"/>
    <x v="9"/>
    <x v="8"/>
    <x v="5"/>
    <x v="7"/>
    <x v="9"/>
    <x v="8"/>
  </r>
  <r>
    <x v="5"/>
    <x v="0"/>
    <x v="6"/>
    <x v="1"/>
    <x v="19"/>
    <x v="9"/>
    <x v="8"/>
    <x v="5"/>
    <x v="7"/>
    <x v="9"/>
    <x v="8"/>
  </r>
  <r>
    <x v="5"/>
    <x v="0"/>
    <x v="6"/>
    <x v="5"/>
    <x v="19"/>
    <x v="9"/>
    <x v="8"/>
    <x v="5"/>
    <x v="7"/>
    <x v="9"/>
    <x v="8"/>
  </r>
  <r>
    <x v="5"/>
    <x v="0"/>
    <x v="6"/>
    <x v="0"/>
    <x v="19"/>
    <x v="9"/>
    <x v="2"/>
    <x v="2"/>
    <x v="5"/>
    <x v="9"/>
    <x v="8"/>
  </r>
  <r>
    <x v="5"/>
    <x v="0"/>
    <x v="6"/>
    <x v="3"/>
    <x v="19"/>
    <x v="9"/>
    <x v="8"/>
    <x v="5"/>
    <x v="7"/>
    <x v="9"/>
    <x v="8"/>
  </r>
  <r>
    <x v="4"/>
    <x v="0"/>
    <x v="7"/>
    <x v="2"/>
    <x v="10"/>
    <x v="9"/>
    <x v="8"/>
    <x v="5"/>
    <x v="7"/>
    <x v="9"/>
    <x v="1"/>
  </r>
  <r>
    <x v="4"/>
    <x v="0"/>
    <x v="7"/>
    <x v="4"/>
    <x v="5"/>
    <x v="0"/>
    <x v="8"/>
    <x v="5"/>
    <x v="7"/>
    <x v="9"/>
    <x v="8"/>
  </r>
  <r>
    <x v="4"/>
    <x v="0"/>
    <x v="7"/>
    <x v="1"/>
    <x v="19"/>
    <x v="9"/>
    <x v="8"/>
    <x v="5"/>
    <x v="7"/>
    <x v="9"/>
    <x v="8"/>
  </r>
  <r>
    <x v="4"/>
    <x v="0"/>
    <x v="7"/>
    <x v="5"/>
    <x v="19"/>
    <x v="9"/>
    <x v="8"/>
    <x v="5"/>
    <x v="1"/>
    <x v="9"/>
    <x v="8"/>
  </r>
  <r>
    <x v="4"/>
    <x v="0"/>
    <x v="7"/>
    <x v="0"/>
    <x v="0"/>
    <x v="9"/>
    <x v="8"/>
    <x v="5"/>
    <x v="0"/>
    <x v="2"/>
    <x v="8"/>
  </r>
  <r>
    <x v="4"/>
    <x v="0"/>
    <x v="7"/>
    <x v="3"/>
    <x v="19"/>
    <x v="9"/>
    <x v="8"/>
    <x v="5"/>
    <x v="7"/>
    <x v="9"/>
    <x v="8"/>
  </r>
  <r>
    <x v="4"/>
    <x v="0"/>
    <x v="8"/>
    <x v="2"/>
    <x v="9"/>
    <x v="9"/>
    <x v="8"/>
    <x v="5"/>
    <x v="7"/>
    <x v="9"/>
    <x v="0"/>
  </r>
  <r>
    <x v="4"/>
    <x v="0"/>
    <x v="8"/>
    <x v="4"/>
    <x v="16"/>
    <x v="3"/>
    <x v="8"/>
    <x v="5"/>
    <x v="7"/>
    <x v="9"/>
    <x v="8"/>
  </r>
  <r>
    <x v="4"/>
    <x v="0"/>
    <x v="8"/>
    <x v="1"/>
    <x v="19"/>
    <x v="9"/>
    <x v="8"/>
    <x v="5"/>
    <x v="7"/>
    <x v="9"/>
    <x v="8"/>
  </r>
  <r>
    <x v="4"/>
    <x v="0"/>
    <x v="8"/>
    <x v="5"/>
    <x v="19"/>
    <x v="0"/>
    <x v="8"/>
    <x v="5"/>
    <x v="7"/>
    <x v="9"/>
    <x v="8"/>
  </r>
  <r>
    <x v="4"/>
    <x v="0"/>
    <x v="8"/>
    <x v="0"/>
    <x v="19"/>
    <x v="2"/>
    <x v="5"/>
    <x v="3"/>
    <x v="3"/>
    <x v="0"/>
    <x v="8"/>
  </r>
  <r>
    <x v="4"/>
    <x v="0"/>
    <x v="8"/>
    <x v="3"/>
    <x v="19"/>
    <x v="9"/>
    <x v="8"/>
    <x v="5"/>
    <x v="7"/>
    <x v="9"/>
    <x v="8"/>
  </r>
  <r>
    <x v="6"/>
    <x v="0"/>
    <x v="9"/>
    <x v="2"/>
    <x v="5"/>
    <x v="9"/>
    <x v="8"/>
    <x v="5"/>
    <x v="7"/>
    <x v="9"/>
    <x v="0"/>
  </r>
  <r>
    <x v="6"/>
    <x v="0"/>
    <x v="9"/>
    <x v="4"/>
    <x v="13"/>
    <x v="6"/>
    <x v="8"/>
    <x v="5"/>
    <x v="7"/>
    <x v="9"/>
    <x v="8"/>
  </r>
  <r>
    <x v="6"/>
    <x v="0"/>
    <x v="9"/>
    <x v="1"/>
    <x v="19"/>
    <x v="9"/>
    <x v="8"/>
    <x v="5"/>
    <x v="7"/>
    <x v="9"/>
    <x v="8"/>
  </r>
  <r>
    <x v="6"/>
    <x v="0"/>
    <x v="9"/>
    <x v="5"/>
    <x v="19"/>
    <x v="9"/>
    <x v="8"/>
    <x v="5"/>
    <x v="7"/>
    <x v="9"/>
    <x v="8"/>
  </r>
  <r>
    <x v="6"/>
    <x v="0"/>
    <x v="9"/>
    <x v="0"/>
    <x v="19"/>
    <x v="1"/>
    <x v="1"/>
    <x v="0"/>
    <x v="1"/>
    <x v="8"/>
    <x v="8"/>
  </r>
  <r>
    <x v="6"/>
    <x v="0"/>
    <x v="9"/>
    <x v="3"/>
    <x v="19"/>
    <x v="9"/>
    <x v="8"/>
    <x v="5"/>
    <x v="7"/>
    <x v="9"/>
    <x v="8"/>
  </r>
  <r>
    <x v="0"/>
    <x v="3"/>
    <x v="0"/>
    <x v="2"/>
    <x v="5"/>
    <x v="2"/>
    <x v="8"/>
    <x v="5"/>
    <x v="7"/>
    <x v="9"/>
    <x v="0"/>
  </r>
  <r>
    <x v="0"/>
    <x v="3"/>
    <x v="0"/>
    <x v="4"/>
    <x v="15"/>
    <x v="5"/>
    <x v="8"/>
    <x v="5"/>
    <x v="7"/>
    <x v="9"/>
    <x v="8"/>
  </r>
  <r>
    <x v="0"/>
    <x v="3"/>
    <x v="0"/>
    <x v="1"/>
    <x v="19"/>
    <x v="9"/>
    <x v="0"/>
    <x v="0"/>
    <x v="7"/>
    <x v="0"/>
    <x v="8"/>
  </r>
  <r>
    <x v="0"/>
    <x v="3"/>
    <x v="0"/>
    <x v="5"/>
    <x v="19"/>
    <x v="9"/>
    <x v="0"/>
    <x v="0"/>
    <x v="7"/>
    <x v="5"/>
    <x v="8"/>
  </r>
  <r>
    <x v="0"/>
    <x v="3"/>
    <x v="0"/>
    <x v="0"/>
    <x v="19"/>
    <x v="3"/>
    <x v="1"/>
    <x v="3"/>
    <x v="3"/>
    <x v="9"/>
    <x v="8"/>
  </r>
  <r>
    <x v="0"/>
    <x v="3"/>
    <x v="0"/>
    <x v="3"/>
    <x v="19"/>
    <x v="9"/>
    <x v="8"/>
    <x v="5"/>
    <x v="7"/>
    <x v="9"/>
    <x v="8"/>
  </r>
  <r>
    <x v="0"/>
    <x v="3"/>
    <x v="1"/>
    <x v="2"/>
    <x v="17"/>
    <x v="2"/>
    <x v="8"/>
    <x v="0"/>
    <x v="7"/>
    <x v="9"/>
    <x v="1"/>
  </r>
  <r>
    <x v="0"/>
    <x v="3"/>
    <x v="1"/>
    <x v="4"/>
    <x v="11"/>
    <x v="5"/>
    <x v="8"/>
    <x v="5"/>
    <x v="7"/>
    <x v="9"/>
    <x v="8"/>
  </r>
  <r>
    <x v="0"/>
    <x v="3"/>
    <x v="1"/>
    <x v="1"/>
    <x v="19"/>
    <x v="0"/>
    <x v="8"/>
    <x v="5"/>
    <x v="7"/>
    <x v="9"/>
    <x v="8"/>
  </r>
  <r>
    <x v="0"/>
    <x v="3"/>
    <x v="1"/>
    <x v="5"/>
    <x v="19"/>
    <x v="9"/>
    <x v="0"/>
    <x v="5"/>
    <x v="7"/>
    <x v="9"/>
    <x v="8"/>
  </r>
  <r>
    <x v="0"/>
    <x v="3"/>
    <x v="1"/>
    <x v="0"/>
    <x v="1"/>
    <x v="4"/>
    <x v="0"/>
    <x v="5"/>
    <x v="0"/>
    <x v="9"/>
    <x v="8"/>
  </r>
  <r>
    <x v="0"/>
    <x v="3"/>
    <x v="1"/>
    <x v="3"/>
    <x v="19"/>
    <x v="9"/>
    <x v="8"/>
    <x v="5"/>
    <x v="7"/>
    <x v="9"/>
    <x v="8"/>
  </r>
  <r>
    <x v="0"/>
    <x v="3"/>
    <x v="2"/>
    <x v="2"/>
    <x v="13"/>
    <x v="9"/>
    <x v="8"/>
    <x v="5"/>
    <x v="7"/>
    <x v="9"/>
    <x v="0"/>
  </r>
  <r>
    <x v="0"/>
    <x v="3"/>
    <x v="2"/>
    <x v="4"/>
    <x v="8"/>
    <x v="9"/>
    <x v="8"/>
    <x v="5"/>
    <x v="7"/>
    <x v="9"/>
    <x v="8"/>
  </r>
  <r>
    <x v="0"/>
    <x v="3"/>
    <x v="2"/>
    <x v="1"/>
    <x v="19"/>
    <x v="0"/>
    <x v="1"/>
    <x v="2"/>
    <x v="7"/>
    <x v="9"/>
    <x v="8"/>
  </r>
  <r>
    <x v="0"/>
    <x v="3"/>
    <x v="2"/>
    <x v="5"/>
    <x v="19"/>
    <x v="3"/>
    <x v="1"/>
    <x v="5"/>
    <x v="0"/>
    <x v="9"/>
    <x v="8"/>
  </r>
  <r>
    <x v="0"/>
    <x v="3"/>
    <x v="2"/>
    <x v="0"/>
    <x v="19"/>
    <x v="3"/>
    <x v="3"/>
    <x v="5"/>
    <x v="0"/>
    <x v="1"/>
    <x v="8"/>
  </r>
  <r>
    <x v="0"/>
    <x v="3"/>
    <x v="2"/>
    <x v="3"/>
    <x v="19"/>
    <x v="9"/>
    <x v="8"/>
    <x v="5"/>
    <x v="7"/>
    <x v="9"/>
    <x v="8"/>
  </r>
  <r>
    <x v="0"/>
    <x v="3"/>
    <x v="3"/>
    <x v="2"/>
    <x v="6"/>
    <x v="9"/>
    <x v="8"/>
    <x v="5"/>
    <x v="7"/>
    <x v="9"/>
    <x v="0"/>
  </r>
  <r>
    <x v="0"/>
    <x v="3"/>
    <x v="3"/>
    <x v="4"/>
    <x v="10"/>
    <x v="7"/>
    <x v="6"/>
    <x v="5"/>
    <x v="7"/>
    <x v="9"/>
    <x v="8"/>
  </r>
  <r>
    <x v="0"/>
    <x v="3"/>
    <x v="3"/>
    <x v="1"/>
    <x v="19"/>
    <x v="9"/>
    <x v="8"/>
    <x v="5"/>
    <x v="0"/>
    <x v="0"/>
    <x v="8"/>
  </r>
  <r>
    <x v="0"/>
    <x v="3"/>
    <x v="3"/>
    <x v="5"/>
    <x v="19"/>
    <x v="9"/>
    <x v="8"/>
    <x v="5"/>
    <x v="7"/>
    <x v="9"/>
    <x v="8"/>
  </r>
  <r>
    <x v="0"/>
    <x v="3"/>
    <x v="3"/>
    <x v="0"/>
    <x v="19"/>
    <x v="9"/>
    <x v="8"/>
    <x v="5"/>
    <x v="2"/>
    <x v="2"/>
    <x v="8"/>
  </r>
  <r>
    <x v="0"/>
    <x v="3"/>
    <x v="3"/>
    <x v="3"/>
    <x v="19"/>
    <x v="9"/>
    <x v="8"/>
    <x v="5"/>
    <x v="7"/>
    <x v="9"/>
    <x v="8"/>
  </r>
  <r>
    <x v="1"/>
    <x v="3"/>
    <x v="4"/>
    <x v="2"/>
    <x v="9"/>
    <x v="9"/>
    <x v="8"/>
    <x v="5"/>
    <x v="7"/>
    <x v="9"/>
    <x v="0"/>
  </r>
  <r>
    <x v="1"/>
    <x v="3"/>
    <x v="4"/>
    <x v="4"/>
    <x v="18"/>
    <x v="5"/>
    <x v="8"/>
    <x v="5"/>
    <x v="7"/>
    <x v="9"/>
    <x v="8"/>
  </r>
  <r>
    <x v="1"/>
    <x v="3"/>
    <x v="4"/>
    <x v="1"/>
    <x v="19"/>
    <x v="0"/>
    <x v="8"/>
    <x v="1"/>
    <x v="7"/>
    <x v="9"/>
    <x v="8"/>
  </r>
  <r>
    <x v="1"/>
    <x v="3"/>
    <x v="4"/>
    <x v="5"/>
    <x v="4"/>
    <x v="3"/>
    <x v="8"/>
    <x v="0"/>
    <x v="7"/>
    <x v="9"/>
    <x v="8"/>
  </r>
  <r>
    <x v="1"/>
    <x v="3"/>
    <x v="4"/>
    <x v="0"/>
    <x v="0"/>
    <x v="2"/>
    <x v="8"/>
    <x v="5"/>
    <x v="6"/>
    <x v="4"/>
    <x v="8"/>
  </r>
  <r>
    <x v="1"/>
    <x v="3"/>
    <x v="4"/>
    <x v="3"/>
    <x v="19"/>
    <x v="9"/>
    <x v="8"/>
    <x v="5"/>
    <x v="7"/>
    <x v="9"/>
    <x v="8"/>
  </r>
  <r>
    <x v="1"/>
    <x v="3"/>
    <x v="5"/>
    <x v="2"/>
    <x v="4"/>
    <x v="9"/>
    <x v="8"/>
    <x v="5"/>
    <x v="7"/>
    <x v="9"/>
    <x v="0"/>
  </r>
  <r>
    <x v="1"/>
    <x v="3"/>
    <x v="5"/>
    <x v="4"/>
    <x v="7"/>
    <x v="4"/>
    <x v="8"/>
    <x v="5"/>
    <x v="7"/>
    <x v="9"/>
    <x v="8"/>
  </r>
  <r>
    <x v="1"/>
    <x v="3"/>
    <x v="5"/>
    <x v="1"/>
    <x v="0"/>
    <x v="0"/>
    <x v="0"/>
    <x v="0"/>
    <x v="7"/>
    <x v="9"/>
    <x v="8"/>
  </r>
  <r>
    <x v="1"/>
    <x v="3"/>
    <x v="5"/>
    <x v="5"/>
    <x v="19"/>
    <x v="9"/>
    <x v="8"/>
    <x v="0"/>
    <x v="2"/>
    <x v="9"/>
    <x v="8"/>
  </r>
  <r>
    <x v="1"/>
    <x v="3"/>
    <x v="5"/>
    <x v="0"/>
    <x v="19"/>
    <x v="9"/>
    <x v="8"/>
    <x v="0"/>
    <x v="2"/>
    <x v="5"/>
    <x v="8"/>
  </r>
  <r>
    <x v="1"/>
    <x v="3"/>
    <x v="5"/>
    <x v="3"/>
    <x v="19"/>
    <x v="9"/>
    <x v="8"/>
    <x v="5"/>
    <x v="7"/>
    <x v="9"/>
    <x v="8"/>
  </r>
  <r>
    <x v="1"/>
    <x v="3"/>
    <x v="6"/>
    <x v="2"/>
    <x v="0"/>
    <x v="1"/>
    <x v="8"/>
    <x v="5"/>
    <x v="7"/>
    <x v="9"/>
    <x v="0"/>
  </r>
  <r>
    <x v="1"/>
    <x v="3"/>
    <x v="6"/>
    <x v="4"/>
    <x v="17"/>
    <x v="3"/>
    <x v="8"/>
    <x v="2"/>
    <x v="7"/>
    <x v="9"/>
    <x v="8"/>
  </r>
  <r>
    <x v="1"/>
    <x v="3"/>
    <x v="6"/>
    <x v="1"/>
    <x v="19"/>
    <x v="9"/>
    <x v="1"/>
    <x v="5"/>
    <x v="7"/>
    <x v="9"/>
    <x v="8"/>
  </r>
  <r>
    <x v="1"/>
    <x v="3"/>
    <x v="6"/>
    <x v="5"/>
    <x v="19"/>
    <x v="9"/>
    <x v="1"/>
    <x v="5"/>
    <x v="0"/>
    <x v="3"/>
    <x v="8"/>
  </r>
  <r>
    <x v="1"/>
    <x v="3"/>
    <x v="6"/>
    <x v="0"/>
    <x v="19"/>
    <x v="9"/>
    <x v="0"/>
    <x v="3"/>
    <x v="3"/>
    <x v="7"/>
    <x v="8"/>
  </r>
  <r>
    <x v="1"/>
    <x v="3"/>
    <x v="6"/>
    <x v="3"/>
    <x v="19"/>
    <x v="9"/>
    <x v="8"/>
    <x v="5"/>
    <x v="7"/>
    <x v="9"/>
    <x v="8"/>
  </r>
  <r>
    <x v="1"/>
    <x v="3"/>
    <x v="7"/>
    <x v="2"/>
    <x v="10"/>
    <x v="2"/>
    <x v="8"/>
    <x v="5"/>
    <x v="7"/>
    <x v="9"/>
    <x v="0"/>
  </r>
  <r>
    <x v="1"/>
    <x v="3"/>
    <x v="7"/>
    <x v="4"/>
    <x v="12"/>
    <x v="4"/>
    <x v="8"/>
    <x v="0"/>
    <x v="7"/>
    <x v="9"/>
    <x v="8"/>
  </r>
  <r>
    <x v="1"/>
    <x v="3"/>
    <x v="7"/>
    <x v="1"/>
    <x v="19"/>
    <x v="0"/>
    <x v="2"/>
    <x v="2"/>
    <x v="7"/>
    <x v="9"/>
    <x v="8"/>
  </r>
  <r>
    <x v="1"/>
    <x v="3"/>
    <x v="7"/>
    <x v="5"/>
    <x v="5"/>
    <x v="1"/>
    <x v="8"/>
    <x v="5"/>
    <x v="7"/>
    <x v="9"/>
    <x v="8"/>
  </r>
  <r>
    <x v="1"/>
    <x v="3"/>
    <x v="7"/>
    <x v="0"/>
    <x v="19"/>
    <x v="9"/>
    <x v="8"/>
    <x v="1"/>
    <x v="4"/>
    <x v="0"/>
    <x v="8"/>
  </r>
  <r>
    <x v="1"/>
    <x v="3"/>
    <x v="7"/>
    <x v="3"/>
    <x v="19"/>
    <x v="9"/>
    <x v="8"/>
    <x v="5"/>
    <x v="7"/>
    <x v="9"/>
    <x v="8"/>
  </r>
  <r>
    <x v="2"/>
    <x v="3"/>
    <x v="8"/>
    <x v="2"/>
    <x v="8"/>
    <x v="9"/>
    <x v="8"/>
    <x v="5"/>
    <x v="7"/>
    <x v="9"/>
    <x v="0"/>
  </r>
  <r>
    <x v="2"/>
    <x v="3"/>
    <x v="8"/>
    <x v="4"/>
    <x v="1"/>
    <x v="9"/>
    <x v="8"/>
    <x v="5"/>
    <x v="7"/>
    <x v="9"/>
    <x v="8"/>
  </r>
  <r>
    <x v="2"/>
    <x v="3"/>
    <x v="8"/>
    <x v="1"/>
    <x v="19"/>
    <x v="9"/>
    <x v="8"/>
    <x v="5"/>
    <x v="0"/>
    <x v="9"/>
    <x v="8"/>
  </r>
  <r>
    <x v="2"/>
    <x v="3"/>
    <x v="8"/>
    <x v="5"/>
    <x v="19"/>
    <x v="9"/>
    <x v="8"/>
    <x v="5"/>
    <x v="7"/>
    <x v="1"/>
    <x v="8"/>
  </r>
  <r>
    <x v="2"/>
    <x v="3"/>
    <x v="8"/>
    <x v="0"/>
    <x v="19"/>
    <x v="9"/>
    <x v="8"/>
    <x v="5"/>
    <x v="7"/>
    <x v="9"/>
    <x v="8"/>
  </r>
  <r>
    <x v="2"/>
    <x v="3"/>
    <x v="8"/>
    <x v="3"/>
    <x v="2"/>
    <x v="2"/>
    <x v="4"/>
    <x v="5"/>
    <x v="7"/>
    <x v="9"/>
    <x v="8"/>
  </r>
  <r>
    <x v="2"/>
    <x v="3"/>
    <x v="9"/>
    <x v="2"/>
    <x v="2"/>
    <x v="9"/>
    <x v="8"/>
    <x v="5"/>
    <x v="7"/>
    <x v="9"/>
    <x v="0"/>
  </r>
  <r>
    <x v="2"/>
    <x v="3"/>
    <x v="9"/>
    <x v="4"/>
    <x v="9"/>
    <x v="0"/>
    <x v="8"/>
    <x v="5"/>
    <x v="7"/>
    <x v="9"/>
    <x v="8"/>
  </r>
  <r>
    <x v="2"/>
    <x v="3"/>
    <x v="9"/>
    <x v="1"/>
    <x v="1"/>
    <x v="3"/>
    <x v="6"/>
    <x v="5"/>
    <x v="1"/>
    <x v="9"/>
    <x v="8"/>
  </r>
  <r>
    <x v="2"/>
    <x v="3"/>
    <x v="9"/>
    <x v="5"/>
    <x v="19"/>
    <x v="0"/>
    <x v="8"/>
    <x v="5"/>
    <x v="7"/>
    <x v="9"/>
    <x v="8"/>
  </r>
  <r>
    <x v="2"/>
    <x v="3"/>
    <x v="9"/>
    <x v="0"/>
    <x v="19"/>
    <x v="2"/>
    <x v="0"/>
    <x v="2"/>
    <x v="1"/>
    <x v="9"/>
    <x v="8"/>
  </r>
  <r>
    <x v="2"/>
    <x v="3"/>
    <x v="9"/>
    <x v="3"/>
    <x v="19"/>
    <x v="9"/>
    <x v="8"/>
    <x v="5"/>
    <x v="7"/>
    <x v="9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Tabla dinámica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K2:P70" firstHeaderRow="1" firstDataRow="2" firstDataCol="2"/>
  <pivotFields count="8">
    <pivotField compact="0" showAll="0"/>
    <pivotField axis="axisRow" compact="0" showAll="0">
      <items count="7">
        <item x="3"/>
        <item x="0"/>
        <item x="4"/>
        <item x="1"/>
        <item x="5"/>
        <item x="2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dataField="1" compact="0" showAll="0"/>
    <pivotField dataField="1" compact="0" showAll="0"/>
    <pivotField dataField="1" compact="0" showAll="0"/>
    <pivotField dataField="1" compact="0" showAll="0"/>
  </pivotFields>
  <rowFields count="2">
    <field x="1"/>
    <field x="2"/>
  </rowFields>
  <colFields count="1">
    <field x="-2"/>
  </colFields>
  <dataFields count="4">
    <dataField name="Suma de 0 - 0,5" fld="4" subtotal="sum" numFmtId="164"/>
    <dataField name="Suma de 0,5 - 1" fld="5" subtotal="sum" numFmtId="164"/>
    <dataField name="Suma de 1 - 1,5" fld="6" subtotal="sum" numFmtId="164"/>
    <dataField name="Suma de Quebrados Nuevos" fld="7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3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22:C65" firstHeaderRow="1" firstDataRow="1" firstDataCol="2"/>
  <pivotFields count="11">
    <pivotField compact="0" showAll="0"/>
    <pivotField axis="axisRow"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"/>
    <field x="3"/>
  </row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11:B18" firstHeaderRow="1" firstDataRow="1" firstDataCol="1"/>
  <pivotFields count="11">
    <pivotField compact="0" showAll="0"/>
    <pivotField axis="axisRow"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a dinámica1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1:B8" firstHeaderRow="1" firstDataRow="1" firstDataCol="1"/>
  <pivotFields count="11">
    <pivotField compact="0" showAll="0"/>
    <pivotField axis="axisRow" compact="0" showAll="0" defaultSubtotal="0">
      <items count="6">
        <item x="3"/>
        <item x="0"/>
        <item x="4"/>
        <item x="1"/>
        <item x="5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"/>
  </rowFields>
  <dataFields count="1">
    <dataField name="Promedio de Quebrados Nuevos" fld="10" subtotal="average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 dinámica4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68:G76" firstHeaderRow="1" firstDataRow="2" firstDataCol="1"/>
  <pivotFields count="11">
    <pivotField compact="0" showAll="0"/>
    <pivotField axis="axisRow"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/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dataField="1" compact="0" showAll="0"/>
  </pivotFields>
  <rowFields count="1">
    <field x="1"/>
  </rowFields>
  <colFields count="1">
    <field x="-2"/>
  </colFields>
  <dataFields count="6">
    <dataField name="Suma de Quebrados Nuevos" fld="10" subtotal="sum" numFmtId="164"/>
    <dataField name="Suma de 0 - 0,25" fld="4" subtotal="sum" numFmtId="164"/>
    <dataField name="Suma de 0,25 - 0,50" fld="5" subtotal="sum" numFmtId="164"/>
    <dataField name="Suma de 0,50 - 0,75" fld="6" subtotal="sum" numFmtId="164"/>
    <dataField name="Suma de 0,75 - 1,00" fld="7" subtotal="sum" numFmtId="164"/>
    <dataField name="Suma de 1,00 - 1,25" fld="8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K2" activeCellId="0" sqref="K2"/>
    </sheetView>
  </sheetViews>
  <sheetFormatPr defaultColWidth="10.5156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0.14"/>
    <col collapsed="false" customWidth="true" hidden="false" outlineLevel="0" max="3" min="3" style="1" width="7.42"/>
    <col collapsed="false" customWidth="true" hidden="false" outlineLevel="0" max="4" min="4" style="0" width="19.29"/>
    <col collapsed="false" customWidth="true" hidden="false" outlineLevel="0" max="10" min="5" style="1" width="11.42"/>
    <col collapsed="false" customWidth="true" hidden="false" outlineLevel="0" max="11" min="11" style="2" width="11.42"/>
  </cols>
  <sheetData>
    <row r="1" customFormat="false" ht="15" hidden="false" customHeight="false" outlineLevel="0" collapsed="false">
      <c r="E1" s="3" t="s">
        <v>0</v>
      </c>
      <c r="F1" s="3"/>
      <c r="G1" s="3"/>
      <c r="H1" s="3"/>
      <c r="I1" s="3"/>
      <c r="J1" s="3"/>
      <c r="K1" s="1"/>
    </row>
    <row r="2" customFormat="false" ht="15" hidden="false" customHeight="false" outlineLevel="0" collapsed="false">
      <c r="A2" s="0" t="s">
        <v>1</v>
      </c>
      <c r="B2" s="0" t="s">
        <v>2</v>
      </c>
      <c r="C2" s="1" t="s">
        <v>3</v>
      </c>
      <c r="D2" s="0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</row>
    <row r="3" customFormat="false" ht="15" hidden="false" customHeight="false" outlineLevel="0" collapsed="false">
      <c r="A3" s="4" t="n">
        <v>39427</v>
      </c>
      <c r="B3" s="0" t="s">
        <v>12</v>
      </c>
      <c r="C3" s="1" t="n">
        <v>1</v>
      </c>
      <c r="D3" s="0" t="s">
        <v>13</v>
      </c>
      <c r="K3" s="2" t="n">
        <v>0</v>
      </c>
    </row>
    <row r="4" customFormat="false" ht="15" hidden="false" customHeight="false" outlineLevel="0" collapsed="false">
      <c r="A4" s="4" t="n">
        <v>39427</v>
      </c>
      <c r="B4" s="0" t="s">
        <v>12</v>
      </c>
      <c r="C4" s="1" t="n">
        <v>1</v>
      </c>
      <c r="D4" s="0" t="s">
        <v>14</v>
      </c>
      <c r="E4" s="1" t="n">
        <v>11</v>
      </c>
      <c r="F4" s="1" t="n">
        <v>11</v>
      </c>
    </row>
    <row r="5" customFormat="false" ht="15" hidden="false" customHeight="false" outlineLevel="0" collapsed="false">
      <c r="A5" s="4" t="n">
        <v>39427</v>
      </c>
      <c r="B5" s="0" t="s">
        <v>12</v>
      </c>
      <c r="C5" s="1" t="n">
        <v>1</v>
      </c>
      <c r="D5" s="0" t="s">
        <v>15</v>
      </c>
    </row>
    <row r="6" customFormat="false" ht="15" hidden="false" customHeight="false" outlineLevel="0" collapsed="false">
      <c r="A6" s="4" t="n">
        <v>39427</v>
      </c>
      <c r="B6" s="0" t="s">
        <v>12</v>
      </c>
      <c r="C6" s="1" t="n">
        <v>1</v>
      </c>
      <c r="D6" s="0" t="s">
        <v>16</v>
      </c>
      <c r="F6" s="1" t="n">
        <v>2</v>
      </c>
      <c r="I6" s="1" t="n">
        <v>1</v>
      </c>
    </row>
    <row r="7" customFormat="false" ht="15" hidden="false" customHeight="false" outlineLevel="0" collapsed="false">
      <c r="A7" s="4" t="n">
        <v>39427</v>
      </c>
      <c r="B7" s="0" t="s">
        <v>12</v>
      </c>
      <c r="C7" s="1" t="n">
        <v>1</v>
      </c>
      <c r="D7" s="0" t="s">
        <v>17</v>
      </c>
      <c r="F7" s="1" t="n">
        <v>1</v>
      </c>
      <c r="G7" s="1" t="n">
        <v>2</v>
      </c>
      <c r="H7" s="1" t="n">
        <v>2</v>
      </c>
      <c r="I7" s="1" t="n">
        <v>3</v>
      </c>
      <c r="J7" s="1" t="n">
        <v>7</v>
      </c>
    </row>
    <row r="8" customFormat="false" ht="15" hidden="false" customHeight="false" outlineLevel="0" collapsed="false">
      <c r="A8" s="4" t="n">
        <v>39427</v>
      </c>
      <c r="B8" s="0" t="s">
        <v>12</v>
      </c>
      <c r="C8" s="1" t="n">
        <v>1</v>
      </c>
      <c r="D8" s="0" t="s">
        <v>18</v>
      </c>
    </row>
    <row r="9" customFormat="false" ht="15" hidden="false" customHeight="false" outlineLevel="0" collapsed="false">
      <c r="A9" s="4" t="n">
        <v>39427</v>
      </c>
      <c r="B9" s="0" t="s">
        <v>12</v>
      </c>
      <c r="C9" s="1" t="n">
        <v>2</v>
      </c>
      <c r="D9" s="0" t="s">
        <v>13</v>
      </c>
      <c r="E9" s="1" t="n">
        <v>1</v>
      </c>
      <c r="K9" s="2" t="n">
        <v>0</v>
      </c>
    </row>
    <row r="10" customFormat="false" ht="15" hidden="false" customHeight="false" outlineLevel="0" collapsed="false">
      <c r="A10" s="4" t="n">
        <v>39427</v>
      </c>
      <c r="B10" s="0" t="s">
        <v>12</v>
      </c>
      <c r="C10" s="1" t="n">
        <v>2</v>
      </c>
      <c r="D10" s="0" t="s">
        <v>14</v>
      </c>
      <c r="E10" s="1" t="n">
        <v>9</v>
      </c>
    </row>
    <row r="11" customFormat="false" ht="15" hidden="false" customHeight="false" outlineLevel="0" collapsed="false">
      <c r="A11" s="4" t="n">
        <v>39427</v>
      </c>
      <c r="B11" s="0" t="s">
        <v>12</v>
      </c>
      <c r="C11" s="1" t="n">
        <v>2</v>
      </c>
      <c r="D11" s="0" t="s">
        <v>15</v>
      </c>
      <c r="E11" s="1" t="n">
        <v>1</v>
      </c>
    </row>
    <row r="12" customFormat="false" ht="15" hidden="false" customHeight="false" outlineLevel="0" collapsed="false">
      <c r="A12" s="4" t="n">
        <v>39427</v>
      </c>
      <c r="B12" s="0" t="s">
        <v>12</v>
      </c>
      <c r="C12" s="1" t="n">
        <v>2</v>
      </c>
      <c r="D12" s="0" t="s">
        <v>16</v>
      </c>
      <c r="E12" s="1" t="n">
        <v>2</v>
      </c>
      <c r="F12" s="1" t="n">
        <v>1</v>
      </c>
      <c r="G12" s="1" t="n">
        <v>1</v>
      </c>
      <c r="J12" s="1" t="n">
        <v>1</v>
      </c>
    </row>
    <row r="13" customFormat="false" ht="15" hidden="false" customHeight="false" outlineLevel="0" collapsed="false">
      <c r="A13" s="4" t="n">
        <v>39427</v>
      </c>
      <c r="B13" s="0" t="s">
        <v>12</v>
      </c>
      <c r="C13" s="1" t="n">
        <v>2</v>
      </c>
      <c r="D13" s="0" t="s">
        <v>17</v>
      </c>
      <c r="I13" s="1" t="n">
        <v>3</v>
      </c>
    </row>
    <row r="14" customFormat="false" ht="15" hidden="false" customHeight="false" outlineLevel="0" collapsed="false">
      <c r="A14" s="4" t="n">
        <v>39427</v>
      </c>
      <c r="B14" s="0" t="s">
        <v>12</v>
      </c>
      <c r="C14" s="1" t="n">
        <v>2</v>
      </c>
      <c r="D14" s="0" t="s">
        <v>18</v>
      </c>
    </row>
    <row r="15" customFormat="false" ht="15" hidden="false" customHeight="false" outlineLevel="0" collapsed="false">
      <c r="A15" s="4" t="n">
        <v>39427</v>
      </c>
      <c r="B15" s="0" t="s">
        <v>12</v>
      </c>
      <c r="C15" s="1" t="n">
        <v>3</v>
      </c>
      <c r="D15" s="0" t="s">
        <v>13</v>
      </c>
      <c r="E15" s="1" t="n">
        <v>1</v>
      </c>
      <c r="F15" s="1" t="n">
        <v>1</v>
      </c>
      <c r="K15" s="2" t="n">
        <v>1</v>
      </c>
    </row>
    <row r="16" customFormat="false" ht="15" hidden="false" customHeight="false" outlineLevel="0" collapsed="false">
      <c r="A16" s="4" t="n">
        <v>39427</v>
      </c>
      <c r="B16" s="0" t="s">
        <v>12</v>
      </c>
      <c r="C16" s="1" t="n">
        <v>3</v>
      </c>
      <c r="D16" s="0" t="s">
        <v>14</v>
      </c>
      <c r="E16" s="1" t="n">
        <v>6</v>
      </c>
      <c r="F16" s="1" t="n">
        <v>2</v>
      </c>
    </row>
    <row r="17" customFormat="false" ht="15" hidden="false" customHeight="false" outlineLevel="0" collapsed="false">
      <c r="A17" s="4" t="n">
        <v>39427</v>
      </c>
      <c r="B17" s="0" t="s">
        <v>12</v>
      </c>
      <c r="C17" s="1" t="n">
        <v>3</v>
      </c>
      <c r="D17" s="0" t="s">
        <v>15</v>
      </c>
    </row>
    <row r="18" customFormat="false" ht="15" hidden="false" customHeight="false" outlineLevel="0" collapsed="false">
      <c r="A18" s="4" t="n">
        <v>39427</v>
      </c>
      <c r="B18" s="0" t="s">
        <v>12</v>
      </c>
      <c r="C18" s="1" t="n">
        <v>3</v>
      </c>
      <c r="D18" s="0" t="s">
        <v>16</v>
      </c>
      <c r="E18" s="1" t="n">
        <v>2</v>
      </c>
      <c r="F18" s="1" t="n">
        <v>3</v>
      </c>
      <c r="I18" s="1" t="n">
        <v>1</v>
      </c>
      <c r="J18" s="1" t="n">
        <v>2</v>
      </c>
    </row>
    <row r="19" customFormat="false" ht="15" hidden="false" customHeight="false" outlineLevel="0" collapsed="false">
      <c r="A19" s="4" t="n">
        <v>39427</v>
      </c>
      <c r="B19" s="0" t="s">
        <v>12</v>
      </c>
      <c r="C19" s="1" t="n">
        <v>3</v>
      </c>
      <c r="D19" s="0" t="s">
        <v>17</v>
      </c>
      <c r="F19" s="1" t="n">
        <v>2</v>
      </c>
      <c r="G19" s="1" t="n">
        <v>2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A20" s="4" t="n">
        <v>39427</v>
      </c>
      <c r="B20" s="0" t="s">
        <v>12</v>
      </c>
      <c r="C20" s="1" t="n">
        <v>3</v>
      </c>
      <c r="D20" s="0" t="s">
        <v>18</v>
      </c>
      <c r="E20" s="1" t="n">
        <v>1</v>
      </c>
    </row>
    <row r="21" customFormat="false" ht="15" hidden="false" customHeight="false" outlineLevel="0" collapsed="false">
      <c r="A21" s="4" t="n">
        <v>39427</v>
      </c>
      <c r="B21" s="0" t="s">
        <v>12</v>
      </c>
      <c r="C21" s="1" t="n">
        <v>4</v>
      </c>
      <c r="D21" s="0" t="s">
        <v>13</v>
      </c>
      <c r="K21" s="2" t="n">
        <v>0</v>
      </c>
    </row>
    <row r="22" customFormat="false" ht="15" hidden="false" customHeight="false" outlineLevel="0" collapsed="false">
      <c r="A22" s="4" t="n">
        <v>39427</v>
      </c>
      <c r="B22" s="0" t="s">
        <v>12</v>
      </c>
      <c r="C22" s="1" t="n">
        <v>4</v>
      </c>
      <c r="D22" s="0" t="s">
        <v>14</v>
      </c>
      <c r="E22" s="1" t="n">
        <v>2</v>
      </c>
    </row>
    <row r="23" customFormat="false" ht="15" hidden="false" customHeight="false" outlineLevel="0" collapsed="false">
      <c r="A23" s="4" t="n">
        <v>39427</v>
      </c>
      <c r="B23" s="0" t="s">
        <v>12</v>
      </c>
      <c r="C23" s="1" t="n">
        <v>4</v>
      </c>
      <c r="D23" s="0" t="s">
        <v>15</v>
      </c>
    </row>
    <row r="24" customFormat="false" ht="15" hidden="false" customHeight="false" outlineLevel="0" collapsed="false">
      <c r="A24" s="4" t="n">
        <v>39427</v>
      </c>
      <c r="B24" s="0" t="s">
        <v>12</v>
      </c>
      <c r="C24" s="1" t="n">
        <v>4</v>
      </c>
      <c r="D24" s="0" t="s">
        <v>16</v>
      </c>
    </row>
    <row r="25" customFormat="false" ht="15" hidden="false" customHeight="false" outlineLevel="0" collapsed="false">
      <c r="A25" s="4" t="n">
        <v>39427</v>
      </c>
      <c r="B25" s="0" t="s">
        <v>12</v>
      </c>
      <c r="C25" s="1" t="n">
        <v>4</v>
      </c>
      <c r="D25" s="0" t="s">
        <v>17</v>
      </c>
      <c r="E25" s="1" t="n">
        <v>1</v>
      </c>
      <c r="F25" s="1" t="n">
        <v>2</v>
      </c>
      <c r="G25" s="1" t="n">
        <v>1</v>
      </c>
      <c r="H25" s="1" t="n">
        <v>2</v>
      </c>
      <c r="J25" s="1" t="n">
        <v>4</v>
      </c>
    </row>
    <row r="26" customFormat="false" ht="15" hidden="false" customHeight="false" outlineLevel="0" collapsed="false">
      <c r="A26" s="4" t="n">
        <v>39427</v>
      </c>
      <c r="B26" s="0" t="s">
        <v>12</v>
      </c>
      <c r="C26" s="1" t="n">
        <v>4</v>
      </c>
      <c r="D26" s="0" t="s">
        <v>18</v>
      </c>
    </row>
    <row r="27" customFormat="false" ht="15" hidden="false" customHeight="false" outlineLevel="0" collapsed="false">
      <c r="A27" s="4" t="n">
        <v>39427</v>
      </c>
      <c r="B27" s="0" t="s">
        <v>12</v>
      </c>
      <c r="C27" s="1" t="n">
        <v>5</v>
      </c>
      <c r="D27" s="0" t="s">
        <v>13</v>
      </c>
      <c r="E27" s="1" t="n">
        <v>1</v>
      </c>
      <c r="K27" s="2" t="n">
        <v>1</v>
      </c>
    </row>
    <row r="28" customFormat="false" ht="15" hidden="false" customHeight="false" outlineLevel="0" collapsed="false">
      <c r="A28" s="4" t="n">
        <v>39427</v>
      </c>
      <c r="B28" s="0" t="s">
        <v>12</v>
      </c>
      <c r="C28" s="1" t="n">
        <v>5</v>
      </c>
      <c r="D28" s="0" t="s">
        <v>14</v>
      </c>
      <c r="E28" s="1" t="n">
        <v>4</v>
      </c>
    </row>
    <row r="29" customFormat="false" ht="15" hidden="false" customHeight="false" outlineLevel="0" collapsed="false">
      <c r="A29" s="4" t="n">
        <v>39427</v>
      </c>
      <c r="B29" s="0" t="s">
        <v>12</v>
      </c>
      <c r="C29" s="1" t="n">
        <v>5</v>
      </c>
      <c r="D29" s="0" t="s">
        <v>15</v>
      </c>
      <c r="E29" s="1" t="n">
        <v>2</v>
      </c>
      <c r="F29" s="1" t="n">
        <v>2</v>
      </c>
      <c r="G29" s="1" t="n">
        <v>1</v>
      </c>
    </row>
    <row r="30" customFormat="false" ht="15" hidden="false" customHeight="false" outlineLevel="0" collapsed="false">
      <c r="A30" s="4" t="n">
        <v>39427</v>
      </c>
      <c r="B30" s="0" t="s">
        <v>12</v>
      </c>
      <c r="C30" s="1" t="n">
        <v>5</v>
      </c>
      <c r="D30" s="0" t="s">
        <v>16</v>
      </c>
      <c r="E30" s="1" t="n">
        <v>1</v>
      </c>
      <c r="H30" s="1" t="n">
        <v>1</v>
      </c>
      <c r="I30" s="1" t="n">
        <v>1</v>
      </c>
    </row>
    <row r="31" customFormat="false" ht="15" hidden="false" customHeight="false" outlineLevel="0" collapsed="false">
      <c r="A31" s="4" t="n">
        <v>39427</v>
      </c>
      <c r="B31" s="0" t="s">
        <v>12</v>
      </c>
      <c r="C31" s="1" t="n">
        <v>5</v>
      </c>
      <c r="D31" s="0" t="s">
        <v>17</v>
      </c>
      <c r="F31" s="1" t="n">
        <v>2</v>
      </c>
      <c r="G31" s="1" t="n">
        <v>2</v>
      </c>
    </row>
    <row r="32" customFormat="false" ht="15" hidden="false" customHeight="false" outlineLevel="0" collapsed="false">
      <c r="A32" s="4" t="n">
        <v>39427</v>
      </c>
      <c r="B32" s="0" t="s">
        <v>12</v>
      </c>
      <c r="C32" s="1" t="n">
        <v>5</v>
      </c>
      <c r="D32" s="0" t="s">
        <v>18</v>
      </c>
      <c r="F32" s="1" t="n">
        <v>3</v>
      </c>
    </row>
    <row r="33" customFormat="false" ht="15" hidden="false" customHeight="false" outlineLevel="0" collapsed="false">
      <c r="A33" s="4" t="n">
        <v>39427</v>
      </c>
      <c r="B33" s="0" t="s">
        <v>12</v>
      </c>
      <c r="C33" s="1" t="n">
        <v>6</v>
      </c>
      <c r="D33" s="0" t="s">
        <v>13</v>
      </c>
      <c r="E33" s="1" t="n">
        <v>3</v>
      </c>
      <c r="K33" s="2" t="n">
        <v>0</v>
      </c>
    </row>
    <row r="34" customFormat="false" ht="15" hidden="false" customHeight="false" outlineLevel="0" collapsed="false">
      <c r="A34" s="4" t="n">
        <v>39427</v>
      </c>
      <c r="B34" s="0" t="s">
        <v>12</v>
      </c>
      <c r="C34" s="1" t="n">
        <v>6</v>
      </c>
      <c r="D34" s="0" t="s">
        <v>14</v>
      </c>
      <c r="E34" s="1" t="n">
        <v>5</v>
      </c>
    </row>
    <row r="35" customFormat="false" ht="15" hidden="false" customHeight="false" outlineLevel="0" collapsed="false">
      <c r="A35" s="4" t="n">
        <v>39427</v>
      </c>
      <c r="B35" s="0" t="s">
        <v>12</v>
      </c>
      <c r="C35" s="1" t="n">
        <v>6</v>
      </c>
      <c r="D35" s="0" t="s">
        <v>15</v>
      </c>
      <c r="E35" s="1" t="n">
        <v>5</v>
      </c>
      <c r="F35" s="1" t="n">
        <v>2</v>
      </c>
      <c r="G35" s="1" t="n">
        <v>1</v>
      </c>
      <c r="H35" s="1" t="n">
        <v>2</v>
      </c>
    </row>
    <row r="36" customFormat="false" ht="15" hidden="false" customHeight="false" outlineLevel="0" collapsed="false">
      <c r="A36" s="4" t="n">
        <v>39427</v>
      </c>
      <c r="B36" s="0" t="s">
        <v>12</v>
      </c>
      <c r="C36" s="1" t="n">
        <v>6</v>
      </c>
      <c r="D36" s="0" t="s">
        <v>16</v>
      </c>
    </row>
    <row r="37" customFormat="false" ht="15" hidden="false" customHeight="false" outlineLevel="0" collapsed="false">
      <c r="A37" s="4" t="n">
        <v>39427</v>
      </c>
      <c r="B37" s="0" t="s">
        <v>12</v>
      </c>
      <c r="C37" s="1" t="n">
        <v>6</v>
      </c>
      <c r="D37" s="0" t="s">
        <v>17</v>
      </c>
    </row>
    <row r="38" customFormat="false" ht="15" hidden="false" customHeight="false" outlineLevel="0" collapsed="false">
      <c r="A38" s="4" t="n">
        <v>39427</v>
      </c>
      <c r="B38" s="0" t="s">
        <v>12</v>
      </c>
      <c r="C38" s="1" t="n">
        <v>6</v>
      </c>
      <c r="D38" s="0" t="s">
        <v>18</v>
      </c>
    </row>
    <row r="39" customFormat="false" ht="15" hidden="false" customHeight="false" outlineLevel="0" collapsed="false">
      <c r="A39" s="4" t="n">
        <v>39428</v>
      </c>
      <c r="B39" s="0" t="s">
        <v>12</v>
      </c>
      <c r="C39" s="1" t="n">
        <v>7</v>
      </c>
      <c r="D39" s="0" t="s">
        <v>13</v>
      </c>
      <c r="E39" s="1" t="n">
        <v>3</v>
      </c>
      <c r="K39" s="2" t="n">
        <v>0</v>
      </c>
    </row>
    <row r="40" customFormat="false" ht="15" hidden="false" customHeight="false" outlineLevel="0" collapsed="false">
      <c r="A40" s="4" t="n">
        <v>39428</v>
      </c>
      <c r="B40" s="0" t="s">
        <v>12</v>
      </c>
      <c r="C40" s="1" t="n">
        <v>7</v>
      </c>
      <c r="D40" s="0" t="s">
        <v>14</v>
      </c>
      <c r="E40" s="1" t="n">
        <v>4</v>
      </c>
    </row>
    <row r="41" customFormat="false" ht="15" hidden="false" customHeight="false" outlineLevel="0" collapsed="false">
      <c r="A41" s="4" t="n">
        <v>39428</v>
      </c>
      <c r="B41" s="0" t="s">
        <v>12</v>
      </c>
      <c r="C41" s="1" t="n">
        <v>7</v>
      </c>
      <c r="D41" s="0" t="s">
        <v>15</v>
      </c>
    </row>
    <row r="42" customFormat="false" ht="15" hidden="false" customHeight="false" outlineLevel="0" collapsed="false">
      <c r="A42" s="4" t="n">
        <v>39428</v>
      </c>
      <c r="B42" s="0" t="s">
        <v>12</v>
      </c>
      <c r="C42" s="1" t="n">
        <v>7</v>
      </c>
      <c r="D42" s="0" t="s">
        <v>16</v>
      </c>
      <c r="G42" s="1" t="n">
        <v>1</v>
      </c>
    </row>
    <row r="43" customFormat="false" ht="15" hidden="false" customHeight="false" outlineLevel="0" collapsed="false">
      <c r="A43" s="4" t="n">
        <v>39428</v>
      </c>
      <c r="B43" s="0" t="s">
        <v>12</v>
      </c>
      <c r="C43" s="1" t="n">
        <v>7</v>
      </c>
      <c r="D43" s="0" t="s">
        <v>17</v>
      </c>
      <c r="F43" s="1" t="n">
        <v>2</v>
      </c>
      <c r="J43" s="1" t="n">
        <v>3</v>
      </c>
    </row>
    <row r="44" customFormat="false" ht="15" hidden="false" customHeight="false" outlineLevel="0" collapsed="false">
      <c r="A44" s="4" t="n">
        <v>39428</v>
      </c>
      <c r="B44" s="0" t="s">
        <v>12</v>
      </c>
      <c r="C44" s="1" t="n">
        <v>7</v>
      </c>
      <c r="D44" s="0" t="s">
        <v>18</v>
      </c>
    </row>
    <row r="45" customFormat="false" ht="15" hidden="false" customHeight="false" outlineLevel="0" collapsed="false">
      <c r="A45" s="4" t="n">
        <v>39428</v>
      </c>
      <c r="B45" s="0" t="s">
        <v>12</v>
      </c>
      <c r="C45" s="1" t="n">
        <v>8</v>
      </c>
      <c r="D45" s="0" t="s">
        <v>13</v>
      </c>
      <c r="E45" s="1" t="n">
        <v>2</v>
      </c>
      <c r="K45" s="2" t="n">
        <v>0</v>
      </c>
    </row>
    <row r="46" customFormat="false" ht="15" hidden="false" customHeight="false" outlineLevel="0" collapsed="false">
      <c r="A46" s="4" t="n">
        <v>39428</v>
      </c>
      <c r="B46" s="0" t="s">
        <v>12</v>
      </c>
      <c r="C46" s="1" t="n">
        <v>8</v>
      </c>
      <c r="D46" s="0" t="s">
        <v>14</v>
      </c>
      <c r="E46" s="1" t="n">
        <v>11</v>
      </c>
      <c r="F46" s="1" t="n">
        <v>2</v>
      </c>
    </row>
    <row r="47" customFormat="false" ht="15" hidden="false" customHeight="false" outlineLevel="0" collapsed="false">
      <c r="A47" s="4" t="n">
        <v>39428</v>
      </c>
      <c r="B47" s="0" t="s">
        <v>12</v>
      </c>
      <c r="C47" s="1" t="n">
        <v>8</v>
      </c>
      <c r="D47" s="0" t="s">
        <v>15</v>
      </c>
      <c r="E47" s="1" t="n">
        <v>3</v>
      </c>
      <c r="G47" s="1" t="n">
        <v>2</v>
      </c>
      <c r="H47" s="1" t="n">
        <v>2</v>
      </c>
    </row>
    <row r="48" customFormat="false" ht="15" hidden="false" customHeight="false" outlineLevel="0" collapsed="false">
      <c r="A48" s="4" t="n">
        <v>39428</v>
      </c>
      <c r="B48" s="0" t="s">
        <v>12</v>
      </c>
      <c r="C48" s="1" t="n">
        <v>8</v>
      </c>
      <c r="D48" s="0" t="s">
        <v>16</v>
      </c>
      <c r="E48" s="1" t="n">
        <v>2</v>
      </c>
      <c r="F48" s="1" t="n">
        <v>1</v>
      </c>
    </row>
    <row r="49" customFormat="false" ht="15" hidden="false" customHeight="false" outlineLevel="0" collapsed="false">
      <c r="A49" s="4" t="n">
        <v>39428</v>
      </c>
      <c r="B49" s="0" t="s">
        <v>12</v>
      </c>
      <c r="C49" s="1" t="n">
        <v>8</v>
      </c>
      <c r="D49" s="0" t="s">
        <v>17</v>
      </c>
    </row>
    <row r="50" customFormat="false" ht="15" hidden="false" customHeight="false" outlineLevel="0" collapsed="false">
      <c r="A50" s="4" t="n">
        <v>39428</v>
      </c>
      <c r="B50" s="0" t="s">
        <v>12</v>
      </c>
      <c r="C50" s="1" t="n">
        <v>8</v>
      </c>
      <c r="D50" s="0" t="s">
        <v>18</v>
      </c>
      <c r="E50" s="1" t="n">
        <v>1</v>
      </c>
    </row>
    <row r="51" customFormat="false" ht="15" hidden="false" customHeight="false" outlineLevel="0" collapsed="false">
      <c r="A51" s="4" t="n">
        <v>39428</v>
      </c>
      <c r="B51" s="0" t="s">
        <v>12</v>
      </c>
      <c r="C51" s="1" t="n">
        <v>9</v>
      </c>
      <c r="D51" s="0" t="s">
        <v>13</v>
      </c>
      <c r="E51" s="1" t="n">
        <v>2</v>
      </c>
      <c r="K51" s="2" t="n">
        <v>0</v>
      </c>
    </row>
    <row r="52" customFormat="false" ht="15" hidden="false" customHeight="false" outlineLevel="0" collapsed="false">
      <c r="A52" s="4" t="n">
        <v>39428</v>
      </c>
      <c r="B52" s="0" t="s">
        <v>12</v>
      </c>
      <c r="C52" s="1" t="n">
        <v>9</v>
      </c>
      <c r="D52" s="0" t="s">
        <v>14</v>
      </c>
      <c r="E52" s="1" t="n">
        <v>2</v>
      </c>
    </row>
    <row r="53" customFormat="false" ht="15" hidden="false" customHeight="false" outlineLevel="0" collapsed="false">
      <c r="A53" s="4" t="n">
        <v>39428</v>
      </c>
      <c r="B53" s="0" t="s">
        <v>12</v>
      </c>
      <c r="C53" s="1" t="n">
        <v>9</v>
      </c>
      <c r="D53" s="0" t="s">
        <v>15</v>
      </c>
      <c r="E53" s="1" t="n">
        <v>2</v>
      </c>
    </row>
    <row r="54" customFormat="false" ht="15" hidden="false" customHeight="false" outlineLevel="0" collapsed="false">
      <c r="A54" s="4" t="n">
        <v>39428</v>
      </c>
      <c r="B54" s="0" t="s">
        <v>12</v>
      </c>
      <c r="C54" s="1" t="n">
        <v>9</v>
      </c>
      <c r="D54" s="0" t="s">
        <v>16</v>
      </c>
    </row>
    <row r="55" customFormat="false" ht="15" hidden="false" customHeight="false" outlineLevel="0" collapsed="false">
      <c r="A55" s="4" t="n">
        <v>39428</v>
      </c>
      <c r="B55" s="0" t="s">
        <v>12</v>
      </c>
      <c r="C55" s="1" t="n">
        <v>9</v>
      </c>
      <c r="D55" s="0" t="s">
        <v>17</v>
      </c>
      <c r="E55" s="1" t="n">
        <v>1</v>
      </c>
      <c r="F55" s="1" t="n">
        <v>3</v>
      </c>
      <c r="G55" s="1" t="n">
        <v>2</v>
      </c>
      <c r="H55" s="1" t="n">
        <v>4</v>
      </c>
      <c r="I55" s="1" t="n">
        <v>4</v>
      </c>
    </row>
    <row r="56" customFormat="false" ht="15" hidden="false" customHeight="false" outlineLevel="0" collapsed="false">
      <c r="A56" s="4" t="n">
        <v>39428</v>
      </c>
      <c r="B56" s="0" t="s">
        <v>12</v>
      </c>
      <c r="C56" s="1" t="n">
        <v>9</v>
      </c>
      <c r="D56" s="0" t="s">
        <v>18</v>
      </c>
    </row>
    <row r="57" customFormat="false" ht="15" hidden="false" customHeight="false" outlineLevel="0" collapsed="false">
      <c r="A57" s="4" t="n">
        <v>39428</v>
      </c>
      <c r="B57" s="0" t="s">
        <v>12</v>
      </c>
      <c r="C57" s="1" t="n">
        <v>10</v>
      </c>
      <c r="D57" s="0" t="s">
        <v>13</v>
      </c>
      <c r="E57" s="1" t="n">
        <v>4</v>
      </c>
      <c r="F57" s="1" t="n">
        <v>2</v>
      </c>
      <c r="K57" s="2" t="n">
        <v>0</v>
      </c>
    </row>
    <row r="58" customFormat="false" ht="15" hidden="false" customHeight="false" outlineLevel="0" collapsed="false">
      <c r="A58" s="4" t="n">
        <v>39428</v>
      </c>
      <c r="B58" s="0" t="s">
        <v>12</v>
      </c>
      <c r="C58" s="1" t="n">
        <v>10</v>
      </c>
      <c r="D58" s="0" t="s">
        <v>14</v>
      </c>
      <c r="E58" s="1" t="n">
        <v>13</v>
      </c>
      <c r="F58" s="1" t="n">
        <v>11</v>
      </c>
    </row>
    <row r="59" customFormat="false" ht="15" hidden="false" customHeight="false" outlineLevel="0" collapsed="false">
      <c r="A59" s="4" t="n">
        <v>39428</v>
      </c>
      <c r="B59" s="0" t="s">
        <v>12</v>
      </c>
      <c r="C59" s="1" t="n">
        <v>10</v>
      </c>
      <c r="D59" s="0" t="s">
        <v>15</v>
      </c>
      <c r="E59" s="1" t="n">
        <v>2</v>
      </c>
    </row>
    <row r="60" customFormat="false" ht="15" hidden="false" customHeight="false" outlineLevel="0" collapsed="false">
      <c r="A60" s="4" t="n">
        <v>39428</v>
      </c>
      <c r="B60" s="0" t="s">
        <v>12</v>
      </c>
      <c r="C60" s="1" t="n">
        <v>10</v>
      </c>
      <c r="D60" s="0" t="s">
        <v>16</v>
      </c>
    </row>
    <row r="61" customFormat="false" ht="15" hidden="false" customHeight="false" outlineLevel="0" collapsed="false">
      <c r="A61" s="4" t="n">
        <v>39428</v>
      </c>
      <c r="B61" s="0" t="s">
        <v>12</v>
      </c>
      <c r="C61" s="1" t="n">
        <v>10</v>
      </c>
      <c r="D61" s="0" t="s">
        <v>17</v>
      </c>
      <c r="G61" s="1" t="n">
        <v>3</v>
      </c>
      <c r="H61" s="1" t="n">
        <v>1</v>
      </c>
      <c r="I61" s="1" t="n">
        <v>4</v>
      </c>
      <c r="J61" s="1" t="n">
        <v>1</v>
      </c>
    </row>
    <row r="62" customFormat="false" ht="15" hidden="false" customHeight="false" outlineLevel="0" collapsed="false">
      <c r="A62" s="4" t="n">
        <v>39428</v>
      </c>
      <c r="B62" s="0" t="s">
        <v>12</v>
      </c>
      <c r="C62" s="1" t="n">
        <v>10</v>
      </c>
      <c r="D62" s="0" t="s">
        <v>18</v>
      </c>
    </row>
    <row r="63" customFormat="false" ht="15" hidden="false" customHeight="false" outlineLevel="0" collapsed="false">
      <c r="A63" s="4" t="n">
        <v>39356</v>
      </c>
      <c r="B63" s="0" t="s">
        <v>19</v>
      </c>
      <c r="C63" s="1" t="n">
        <v>1</v>
      </c>
      <c r="D63" s="0" t="s">
        <v>13</v>
      </c>
      <c r="K63" s="2" t="n">
        <v>7</v>
      </c>
    </row>
    <row r="64" customFormat="false" ht="15" hidden="false" customHeight="false" outlineLevel="0" collapsed="false">
      <c r="A64" s="4" t="n">
        <v>39356</v>
      </c>
      <c r="B64" s="0" t="s">
        <v>19</v>
      </c>
      <c r="C64" s="1" t="n">
        <v>1</v>
      </c>
      <c r="D64" s="0" t="s">
        <v>14</v>
      </c>
      <c r="E64" s="1" t="n">
        <v>11</v>
      </c>
    </row>
    <row r="65" customFormat="false" ht="15" hidden="false" customHeight="false" outlineLevel="0" collapsed="false">
      <c r="A65" s="4" t="n">
        <v>39356</v>
      </c>
      <c r="B65" s="0" t="s">
        <v>19</v>
      </c>
      <c r="C65" s="1" t="n">
        <v>1</v>
      </c>
      <c r="D65" s="0" t="s">
        <v>15</v>
      </c>
    </row>
    <row r="66" customFormat="false" ht="15" hidden="false" customHeight="false" outlineLevel="0" collapsed="false">
      <c r="A66" s="4" t="n">
        <v>39356</v>
      </c>
      <c r="B66" s="0" t="s">
        <v>19</v>
      </c>
      <c r="C66" s="1" t="n">
        <v>1</v>
      </c>
      <c r="D66" s="0" t="s">
        <v>16</v>
      </c>
    </row>
    <row r="67" customFormat="false" ht="15" hidden="false" customHeight="false" outlineLevel="0" collapsed="false">
      <c r="A67" s="4" t="n">
        <v>39356</v>
      </c>
      <c r="B67" s="0" t="s">
        <v>19</v>
      </c>
      <c r="C67" s="1" t="n">
        <v>1</v>
      </c>
      <c r="D67" s="0" t="s">
        <v>17</v>
      </c>
      <c r="E67" s="1" t="n">
        <v>1</v>
      </c>
      <c r="F67" s="1" t="n">
        <v>3</v>
      </c>
      <c r="G67" s="1" t="n">
        <v>2</v>
      </c>
      <c r="H67" s="1" t="n">
        <v>1</v>
      </c>
      <c r="I67" s="1" t="n">
        <v>2</v>
      </c>
      <c r="J67" s="1" t="n">
        <v>1</v>
      </c>
    </row>
    <row r="68" customFormat="false" ht="15" hidden="false" customHeight="false" outlineLevel="0" collapsed="false">
      <c r="A68" s="4" t="n">
        <v>39356</v>
      </c>
      <c r="B68" s="0" t="s">
        <v>19</v>
      </c>
      <c r="C68" s="1" t="n">
        <v>1</v>
      </c>
      <c r="D68" s="0" t="s">
        <v>18</v>
      </c>
    </row>
    <row r="69" customFormat="false" ht="15" hidden="false" customHeight="false" outlineLevel="0" collapsed="false">
      <c r="A69" s="4" t="n">
        <v>39357</v>
      </c>
      <c r="B69" s="0" t="s">
        <v>19</v>
      </c>
      <c r="C69" s="1" t="n">
        <v>2</v>
      </c>
      <c r="D69" s="0" t="s">
        <v>13</v>
      </c>
      <c r="K69" s="2" t="n">
        <v>1</v>
      </c>
    </row>
    <row r="70" customFormat="false" ht="15" hidden="false" customHeight="false" outlineLevel="0" collapsed="false">
      <c r="A70" s="4" t="n">
        <v>39357</v>
      </c>
      <c r="B70" s="0" t="s">
        <v>19</v>
      </c>
      <c r="C70" s="1" t="n">
        <v>2</v>
      </c>
      <c r="D70" s="0" t="s">
        <v>14</v>
      </c>
      <c r="E70" s="1" t="n">
        <v>1</v>
      </c>
    </row>
    <row r="71" customFormat="false" ht="15" hidden="false" customHeight="false" outlineLevel="0" collapsed="false">
      <c r="A71" s="4" t="n">
        <v>39357</v>
      </c>
      <c r="B71" s="0" t="s">
        <v>19</v>
      </c>
      <c r="C71" s="1" t="n">
        <v>2</v>
      </c>
      <c r="D71" s="0" t="s">
        <v>15</v>
      </c>
    </row>
    <row r="72" customFormat="false" ht="15" hidden="false" customHeight="false" outlineLevel="0" collapsed="false">
      <c r="A72" s="4" t="n">
        <v>39357</v>
      </c>
      <c r="B72" s="0" t="s">
        <v>19</v>
      </c>
      <c r="C72" s="1" t="n">
        <v>2</v>
      </c>
      <c r="D72" s="0" t="s">
        <v>16</v>
      </c>
      <c r="E72" s="1" t="n">
        <v>1</v>
      </c>
      <c r="F72" s="1" t="n">
        <v>2</v>
      </c>
    </row>
    <row r="73" customFormat="false" ht="15" hidden="false" customHeight="false" outlineLevel="0" collapsed="false">
      <c r="A73" s="4" t="n">
        <v>39357</v>
      </c>
      <c r="B73" s="0" t="s">
        <v>19</v>
      </c>
      <c r="C73" s="1" t="n">
        <v>2</v>
      </c>
      <c r="D73" s="0" t="s">
        <v>17</v>
      </c>
      <c r="F73" s="1" t="n">
        <v>1</v>
      </c>
      <c r="I73" s="1" t="n">
        <v>1</v>
      </c>
      <c r="J73" s="1" t="n">
        <v>2</v>
      </c>
    </row>
    <row r="74" customFormat="false" ht="15" hidden="false" customHeight="false" outlineLevel="0" collapsed="false">
      <c r="A74" s="4" t="n">
        <v>39357</v>
      </c>
      <c r="B74" s="0" t="s">
        <v>19</v>
      </c>
      <c r="C74" s="1" t="n">
        <v>2</v>
      </c>
      <c r="D74" s="0" t="s">
        <v>18</v>
      </c>
    </row>
    <row r="75" customFormat="false" ht="15" hidden="false" customHeight="false" outlineLevel="0" collapsed="false">
      <c r="A75" s="4" t="n">
        <v>39357</v>
      </c>
      <c r="B75" s="0" t="s">
        <v>19</v>
      </c>
      <c r="C75" s="1" t="n">
        <v>3</v>
      </c>
      <c r="D75" s="0" t="s">
        <v>13</v>
      </c>
      <c r="E75" s="1" t="n">
        <v>4</v>
      </c>
      <c r="G75" s="1" t="n">
        <v>4</v>
      </c>
      <c r="K75" s="2" t="n">
        <v>2</v>
      </c>
    </row>
    <row r="76" customFormat="false" ht="15" hidden="false" customHeight="false" outlineLevel="0" collapsed="false">
      <c r="A76" s="4" t="n">
        <v>39357</v>
      </c>
      <c r="B76" s="0" t="s">
        <v>19</v>
      </c>
      <c r="C76" s="1" t="n">
        <v>3</v>
      </c>
      <c r="D76" s="0" t="s">
        <v>14</v>
      </c>
      <c r="E76" s="1" t="n">
        <v>6</v>
      </c>
    </row>
    <row r="77" customFormat="false" ht="15" hidden="false" customHeight="false" outlineLevel="0" collapsed="false">
      <c r="A77" s="4" t="n">
        <v>39357</v>
      </c>
      <c r="B77" s="0" t="s">
        <v>19</v>
      </c>
      <c r="C77" s="1" t="n">
        <v>3</v>
      </c>
      <c r="D77" s="0" t="s">
        <v>15</v>
      </c>
    </row>
    <row r="78" customFormat="false" ht="15" hidden="false" customHeight="false" outlineLevel="0" collapsed="false">
      <c r="A78" s="4" t="n">
        <v>39357</v>
      </c>
      <c r="B78" s="0" t="s">
        <v>19</v>
      </c>
      <c r="C78" s="1" t="n">
        <v>3</v>
      </c>
      <c r="D78" s="0" t="s">
        <v>16</v>
      </c>
      <c r="J78" s="1" t="n">
        <v>2</v>
      </c>
    </row>
    <row r="79" customFormat="false" ht="15" hidden="false" customHeight="false" outlineLevel="0" collapsed="false">
      <c r="A79" s="4" t="n">
        <v>39357</v>
      </c>
      <c r="B79" s="0" t="s">
        <v>19</v>
      </c>
      <c r="C79" s="1" t="n">
        <v>3</v>
      </c>
      <c r="D79" s="0" t="s">
        <v>17</v>
      </c>
      <c r="J79" s="1" t="n">
        <v>2</v>
      </c>
    </row>
    <row r="80" customFormat="false" ht="15" hidden="false" customHeight="false" outlineLevel="0" collapsed="false">
      <c r="A80" s="4" t="n">
        <v>39357</v>
      </c>
      <c r="B80" s="0" t="s">
        <v>19</v>
      </c>
      <c r="C80" s="1" t="n">
        <v>3</v>
      </c>
      <c r="D80" s="0" t="s">
        <v>18</v>
      </c>
    </row>
    <row r="81" customFormat="false" ht="15" hidden="false" customHeight="false" outlineLevel="0" collapsed="false">
      <c r="A81" s="4" t="n">
        <v>39357</v>
      </c>
      <c r="B81" s="0" t="s">
        <v>19</v>
      </c>
      <c r="C81" s="1" t="n">
        <v>4</v>
      </c>
      <c r="D81" s="0" t="s">
        <v>13</v>
      </c>
      <c r="K81" s="2" t="n">
        <v>1</v>
      </c>
    </row>
    <row r="82" customFormat="false" ht="15" hidden="false" customHeight="false" outlineLevel="0" collapsed="false">
      <c r="A82" s="4" t="n">
        <v>39357</v>
      </c>
      <c r="B82" s="0" t="s">
        <v>19</v>
      </c>
      <c r="C82" s="1" t="n">
        <v>4</v>
      </c>
      <c r="D82" s="0" t="s">
        <v>14</v>
      </c>
      <c r="E82" s="1" t="n">
        <v>5</v>
      </c>
    </row>
    <row r="83" customFormat="false" ht="15" hidden="false" customHeight="false" outlineLevel="0" collapsed="false">
      <c r="A83" s="4" t="n">
        <v>39357</v>
      </c>
      <c r="B83" s="0" t="s">
        <v>19</v>
      </c>
      <c r="C83" s="1" t="n">
        <v>4</v>
      </c>
      <c r="D83" s="0" t="s">
        <v>15</v>
      </c>
    </row>
    <row r="84" customFormat="false" ht="15" hidden="false" customHeight="false" outlineLevel="0" collapsed="false">
      <c r="A84" s="4" t="n">
        <v>39357</v>
      </c>
      <c r="B84" s="0" t="s">
        <v>19</v>
      </c>
      <c r="C84" s="1" t="n">
        <v>4</v>
      </c>
      <c r="D84" s="0" t="s">
        <v>16</v>
      </c>
    </row>
    <row r="85" customFormat="false" ht="15" hidden="false" customHeight="false" outlineLevel="0" collapsed="false">
      <c r="A85" s="4" t="n">
        <v>39357</v>
      </c>
      <c r="B85" s="0" t="s">
        <v>19</v>
      </c>
      <c r="C85" s="1" t="n">
        <v>4</v>
      </c>
      <c r="D85" s="0" t="s">
        <v>17</v>
      </c>
      <c r="G85" s="1" t="n">
        <v>2</v>
      </c>
      <c r="H85" s="1" t="n">
        <v>1</v>
      </c>
      <c r="I85" s="1" t="n">
        <v>2</v>
      </c>
      <c r="J85" s="1" t="n">
        <v>1</v>
      </c>
    </row>
    <row r="86" customFormat="false" ht="15" hidden="false" customHeight="false" outlineLevel="0" collapsed="false">
      <c r="A86" s="4" t="n">
        <v>39357</v>
      </c>
      <c r="B86" s="0" t="s">
        <v>19</v>
      </c>
      <c r="C86" s="1" t="n">
        <v>4</v>
      </c>
      <c r="D86" s="0" t="s">
        <v>18</v>
      </c>
    </row>
    <row r="87" customFormat="false" ht="15" hidden="false" customHeight="false" outlineLevel="0" collapsed="false">
      <c r="A87" s="4" t="n">
        <v>39357</v>
      </c>
      <c r="B87" s="0" t="s">
        <v>19</v>
      </c>
      <c r="C87" s="1" t="n">
        <v>5</v>
      </c>
      <c r="D87" s="0" t="s">
        <v>13</v>
      </c>
      <c r="K87" s="2" t="n">
        <v>2</v>
      </c>
    </row>
    <row r="88" customFormat="false" ht="15" hidden="false" customHeight="false" outlineLevel="0" collapsed="false">
      <c r="A88" s="4" t="n">
        <v>39357</v>
      </c>
      <c r="B88" s="0" t="s">
        <v>19</v>
      </c>
      <c r="C88" s="1" t="n">
        <v>5</v>
      </c>
      <c r="D88" s="0" t="s">
        <v>14</v>
      </c>
      <c r="E88" s="1" t="n">
        <v>3</v>
      </c>
    </row>
    <row r="89" customFormat="false" ht="15" hidden="false" customHeight="false" outlineLevel="0" collapsed="false">
      <c r="A89" s="4" t="n">
        <v>39357</v>
      </c>
      <c r="B89" s="0" t="s">
        <v>19</v>
      </c>
      <c r="C89" s="1" t="n">
        <v>5</v>
      </c>
      <c r="D89" s="0" t="s">
        <v>15</v>
      </c>
    </row>
    <row r="90" customFormat="false" ht="15" hidden="false" customHeight="false" outlineLevel="0" collapsed="false">
      <c r="A90" s="4" t="n">
        <v>39357</v>
      </c>
      <c r="B90" s="0" t="s">
        <v>19</v>
      </c>
      <c r="C90" s="1" t="n">
        <v>5</v>
      </c>
      <c r="D90" s="0" t="s">
        <v>16</v>
      </c>
    </row>
    <row r="91" customFormat="false" ht="15" hidden="false" customHeight="false" outlineLevel="0" collapsed="false">
      <c r="A91" s="4" t="n">
        <v>39357</v>
      </c>
      <c r="B91" s="0" t="s">
        <v>19</v>
      </c>
      <c r="C91" s="1" t="n">
        <v>5</v>
      </c>
      <c r="D91" s="0" t="s">
        <v>17</v>
      </c>
    </row>
    <row r="92" customFormat="false" ht="15" hidden="false" customHeight="false" outlineLevel="0" collapsed="false">
      <c r="A92" s="4" t="n">
        <v>39357</v>
      </c>
      <c r="B92" s="0" t="s">
        <v>19</v>
      </c>
      <c r="C92" s="1" t="n">
        <v>5</v>
      </c>
      <c r="D92" s="0" t="s">
        <v>18</v>
      </c>
    </row>
    <row r="93" customFormat="false" ht="15" hidden="false" customHeight="false" outlineLevel="0" collapsed="false">
      <c r="A93" s="4" t="n">
        <v>39357</v>
      </c>
      <c r="B93" s="0" t="s">
        <v>19</v>
      </c>
      <c r="C93" s="1" t="n">
        <v>6</v>
      </c>
      <c r="D93" s="0" t="s">
        <v>13</v>
      </c>
      <c r="E93" s="1" t="n">
        <v>2</v>
      </c>
      <c r="K93" s="2" t="n">
        <v>0</v>
      </c>
    </row>
    <row r="94" customFormat="false" ht="15" hidden="false" customHeight="false" outlineLevel="0" collapsed="false">
      <c r="A94" s="4" t="n">
        <v>39357</v>
      </c>
      <c r="B94" s="0" t="s">
        <v>19</v>
      </c>
      <c r="C94" s="1" t="n">
        <v>6</v>
      </c>
      <c r="D94" s="0" t="s">
        <v>14</v>
      </c>
    </row>
    <row r="95" customFormat="false" ht="15" hidden="false" customHeight="false" outlineLevel="0" collapsed="false">
      <c r="A95" s="4" t="n">
        <v>39357</v>
      </c>
      <c r="B95" s="0" t="s">
        <v>19</v>
      </c>
      <c r="C95" s="1" t="n">
        <v>6</v>
      </c>
      <c r="D95" s="0" t="s">
        <v>15</v>
      </c>
      <c r="E95" s="1" t="n">
        <v>1</v>
      </c>
      <c r="F95" s="1" t="n">
        <v>3</v>
      </c>
    </row>
    <row r="96" customFormat="false" ht="15" hidden="false" customHeight="false" outlineLevel="0" collapsed="false">
      <c r="A96" s="4" t="n">
        <v>39357</v>
      </c>
      <c r="B96" s="0" t="s">
        <v>19</v>
      </c>
      <c r="C96" s="1" t="n">
        <v>6</v>
      </c>
      <c r="D96" s="0" t="s">
        <v>16</v>
      </c>
      <c r="E96" s="1" t="n">
        <v>1</v>
      </c>
    </row>
    <row r="97" customFormat="false" ht="15" hidden="false" customHeight="false" outlineLevel="0" collapsed="false">
      <c r="A97" s="4" t="n">
        <v>39357</v>
      </c>
      <c r="B97" s="0" t="s">
        <v>19</v>
      </c>
      <c r="C97" s="1" t="n">
        <v>6</v>
      </c>
      <c r="D97" s="0" t="s">
        <v>17</v>
      </c>
      <c r="H97" s="1" t="n">
        <v>6</v>
      </c>
    </row>
    <row r="98" customFormat="false" ht="15" hidden="false" customHeight="false" outlineLevel="0" collapsed="false">
      <c r="A98" s="4" t="n">
        <v>39357</v>
      </c>
      <c r="B98" s="0" t="s">
        <v>19</v>
      </c>
      <c r="C98" s="1" t="n">
        <v>6</v>
      </c>
      <c r="D98" s="0" t="s">
        <v>18</v>
      </c>
    </row>
    <row r="99" customFormat="false" ht="15" hidden="false" customHeight="false" outlineLevel="0" collapsed="false">
      <c r="A99" s="4" t="n">
        <v>39357</v>
      </c>
      <c r="B99" s="0" t="s">
        <v>19</v>
      </c>
      <c r="C99" s="1" t="n">
        <v>7</v>
      </c>
      <c r="D99" s="0" t="s">
        <v>13</v>
      </c>
      <c r="E99" s="1" t="n">
        <v>1</v>
      </c>
      <c r="K99" s="2" t="n">
        <v>2</v>
      </c>
    </row>
    <row r="100" customFormat="false" ht="15" hidden="false" customHeight="false" outlineLevel="0" collapsed="false">
      <c r="A100" s="4" t="n">
        <v>39357</v>
      </c>
      <c r="B100" s="0" t="s">
        <v>19</v>
      </c>
      <c r="C100" s="1" t="n">
        <v>7</v>
      </c>
      <c r="D100" s="0" t="s">
        <v>14</v>
      </c>
    </row>
    <row r="101" customFormat="false" ht="15" hidden="false" customHeight="false" outlineLevel="0" collapsed="false">
      <c r="A101" s="4" t="n">
        <v>39357</v>
      </c>
      <c r="B101" s="0" t="s">
        <v>19</v>
      </c>
      <c r="C101" s="1" t="n">
        <v>7</v>
      </c>
      <c r="D101" s="0" t="s">
        <v>15</v>
      </c>
    </row>
    <row r="102" customFormat="false" ht="15" hidden="false" customHeight="false" outlineLevel="0" collapsed="false">
      <c r="A102" s="4" t="n">
        <v>39357</v>
      </c>
      <c r="B102" s="0" t="s">
        <v>19</v>
      </c>
      <c r="C102" s="1" t="n">
        <v>7</v>
      </c>
      <c r="D102" s="0" t="s">
        <v>16</v>
      </c>
      <c r="E102" s="1" t="n">
        <v>2</v>
      </c>
    </row>
    <row r="103" customFormat="false" ht="15" hidden="false" customHeight="false" outlineLevel="0" collapsed="false">
      <c r="A103" s="4" t="n">
        <v>39357</v>
      </c>
      <c r="B103" s="0" t="s">
        <v>19</v>
      </c>
      <c r="C103" s="1" t="n">
        <v>7</v>
      </c>
      <c r="D103" s="0" t="s">
        <v>17</v>
      </c>
      <c r="H103" s="1" t="n">
        <v>2</v>
      </c>
    </row>
    <row r="104" customFormat="false" ht="15" hidden="false" customHeight="false" outlineLevel="0" collapsed="false">
      <c r="A104" s="4" t="n">
        <v>39357</v>
      </c>
      <c r="B104" s="0" t="s">
        <v>19</v>
      </c>
      <c r="C104" s="1" t="n">
        <v>7</v>
      </c>
      <c r="D104" s="0" t="s">
        <v>18</v>
      </c>
    </row>
    <row r="105" customFormat="false" ht="15" hidden="false" customHeight="false" outlineLevel="0" collapsed="false">
      <c r="A105" s="4" t="n">
        <v>39357</v>
      </c>
      <c r="B105" s="0" t="s">
        <v>19</v>
      </c>
      <c r="C105" s="1" t="n">
        <v>8</v>
      </c>
      <c r="D105" s="0" t="s">
        <v>13</v>
      </c>
      <c r="K105" s="2" t="n">
        <v>2</v>
      </c>
    </row>
    <row r="106" customFormat="false" ht="15" hidden="false" customHeight="false" outlineLevel="0" collapsed="false">
      <c r="A106" s="4" t="n">
        <v>39357</v>
      </c>
      <c r="B106" s="0" t="s">
        <v>19</v>
      </c>
      <c r="C106" s="1" t="n">
        <v>8</v>
      </c>
      <c r="D106" s="0" t="s">
        <v>14</v>
      </c>
      <c r="E106" s="1" t="n">
        <v>6</v>
      </c>
    </row>
    <row r="107" customFormat="false" ht="15" hidden="false" customHeight="false" outlineLevel="0" collapsed="false">
      <c r="A107" s="4" t="n">
        <v>39357</v>
      </c>
      <c r="B107" s="0" t="s">
        <v>19</v>
      </c>
      <c r="C107" s="1" t="n">
        <v>8</v>
      </c>
      <c r="D107" s="0" t="s">
        <v>15</v>
      </c>
    </row>
    <row r="108" customFormat="false" ht="15" hidden="false" customHeight="false" outlineLevel="0" collapsed="false">
      <c r="A108" s="4" t="n">
        <v>39357</v>
      </c>
      <c r="B108" s="0" t="s">
        <v>19</v>
      </c>
      <c r="C108" s="1" t="n">
        <v>8</v>
      </c>
      <c r="D108" s="0" t="s">
        <v>16</v>
      </c>
      <c r="F108" s="1" t="n">
        <v>1</v>
      </c>
      <c r="H108" s="1" t="n">
        <v>1</v>
      </c>
    </row>
    <row r="109" customFormat="false" ht="15" hidden="false" customHeight="false" outlineLevel="0" collapsed="false">
      <c r="A109" s="4" t="n">
        <v>39357</v>
      </c>
      <c r="B109" s="0" t="s">
        <v>19</v>
      </c>
      <c r="C109" s="1" t="n">
        <v>8</v>
      </c>
      <c r="D109" s="0" t="s">
        <v>17</v>
      </c>
      <c r="E109" s="1" t="n">
        <v>1</v>
      </c>
      <c r="F109" s="1" t="n">
        <v>1</v>
      </c>
      <c r="G109" s="1" t="n">
        <v>3</v>
      </c>
      <c r="H109" s="1" t="n">
        <v>2</v>
      </c>
    </row>
    <row r="110" customFormat="false" ht="15" hidden="false" customHeight="false" outlineLevel="0" collapsed="false">
      <c r="A110" s="4" t="n">
        <v>39357</v>
      </c>
      <c r="B110" s="0" t="s">
        <v>19</v>
      </c>
      <c r="C110" s="1" t="n">
        <v>8</v>
      </c>
      <c r="D110" s="0" t="s">
        <v>18</v>
      </c>
    </row>
    <row r="111" customFormat="false" ht="15" hidden="false" customHeight="false" outlineLevel="0" collapsed="false">
      <c r="A111" s="4" t="n">
        <v>39359</v>
      </c>
      <c r="B111" s="0" t="s">
        <v>19</v>
      </c>
      <c r="C111" s="1" t="n">
        <v>9</v>
      </c>
      <c r="D111" s="0" t="s">
        <v>13</v>
      </c>
      <c r="K111" s="2" t="n">
        <v>1</v>
      </c>
    </row>
    <row r="112" customFormat="false" ht="15" hidden="false" customHeight="false" outlineLevel="0" collapsed="false">
      <c r="A112" s="4" t="n">
        <v>39359</v>
      </c>
      <c r="B112" s="0" t="s">
        <v>19</v>
      </c>
      <c r="C112" s="1" t="n">
        <v>9</v>
      </c>
      <c r="D112" s="0" t="s">
        <v>14</v>
      </c>
    </row>
    <row r="113" customFormat="false" ht="15" hidden="false" customHeight="false" outlineLevel="0" collapsed="false">
      <c r="A113" s="4" t="n">
        <v>39359</v>
      </c>
      <c r="B113" s="0" t="s">
        <v>19</v>
      </c>
      <c r="C113" s="1" t="n">
        <v>9</v>
      </c>
      <c r="D113" s="0" t="s">
        <v>15</v>
      </c>
    </row>
    <row r="114" customFormat="false" ht="15" hidden="false" customHeight="false" outlineLevel="0" collapsed="false">
      <c r="A114" s="4" t="n">
        <v>39359</v>
      </c>
      <c r="B114" s="0" t="s">
        <v>19</v>
      </c>
      <c r="C114" s="1" t="n">
        <v>9</v>
      </c>
      <c r="D114" s="0" t="s">
        <v>16</v>
      </c>
    </row>
    <row r="115" customFormat="false" ht="15" hidden="false" customHeight="false" outlineLevel="0" collapsed="false">
      <c r="A115" s="4" t="n">
        <v>39359</v>
      </c>
      <c r="B115" s="0" t="s">
        <v>19</v>
      </c>
      <c r="C115" s="1" t="n">
        <v>9</v>
      </c>
      <c r="D115" s="0" t="s">
        <v>17</v>
      </c>
    </row>
    <row r="116" customFormat="false" ht="15" hidden="false" customHeight="false" outlineLevel="0" collapsed="false">
      <c r="A116" s="4" t="n">
        <v>39359</v>
      </c>
      <c r="B116" s="0" t="s">
        <v>19</v>
      </c>
      <c r="C116" s="1" t="n">
        <v>9</v>
      </c>
      <c r="D116" s="0" t="s">
        <v>18</v>
      </c>
    </row>
    <row r="117" customFormat="false" ht="15" hidden="false" customHeight="false" outlineLevel="0" collapsed="false">
      <c r="A117" s="4" t="n">
        <v>39360</v>
      </c>
      <c r="B117" s="0" t="s">
        <v>19</v>
      </c>
      <c r="C117" s="1" t="n">
        <v>10</v>
      </c>
      <c r="D117" s="0" t="s">
        <v>13</v>
      </c>
      <c r="E117" s="1" t="n">
        <v>1</v>
      </c>
      <c r="K117" s="2" t="n">
        <v>0</v>
      </c>
    </row>
    <row r="118" customFormat="false" ht="15" hidden="false" customHeight="false" outlineLevel="0" collapsed="false">
      <c r="A118" s="4" t="n">
        <v>39360</v>
      </c>
      <c r="B118" s="0" t="s">
        <v>19</v>
      </c>
      <c r="C118" s="1" t="n">
        <v>10</v>
      </c>
      <c r="D118" s="0" t="s">
        <v>14</v>
      </c>
      <c r="E118" s="1" t="n">
        <v>1</v>
      </c>
    </row>
    <row r="119" customFormat="false" ht="15" hidden="false" customHeight="false" outlineLevel="0" collapsed="false">
      <c r="A119" s="4" t="n">
        <v>39360</v>
      </c>
      <c r="B119" s="0" t="s">
        <v>19</v>
      </c>
      <c r="C119" s="1" t="n">
        <v>10</v>
      </c>
      <c r="D119" s="0" t="s">
        <v>15</v>
      </c>
      <c r="E119" s="1" t="n">
        <v>1</v>
      </c>
    </row>
    <row r="120" customFormat="false" ht="15" hidden="false" customHeight="false" outlineLevel="0" collapsed="false">
      <c r="A120" s="4" t="n">
        <v>39360</v>
      </c>
      <c r="B120" s="0" t="s">
        <v>19</v>
      </c>
      <c r="C120" s="1" t="n">
        <v>10</v>
      </c>
      <c r="D120" s="0" t="s">
        <v>16</v>
      </c>
      <c r="E120" s="1" t="n">
        <v>1</v>
      </c>
      <c r="F120" s="1" t="n">
        <v>1</v>
      </c>
    </row>
    <row r="121" customFormat="false" ht="15" hidden="false" customHeight="false" outlineLevel="0" collapsed="false">
      <c r="A121" s="4" t="n">
        <v>39360</v>
      </c>
      <c r="B121" s="0" t="s">
        <v>19</v>
      </c>
      <c r="C121" s="1" t="n">
        <v>10</v>
      </c>
      <c r="D121" s="0" t="s">
        <v>17</v>
      </c>
      <c r="G121" s="1" t="n">
        <v>1</v>
      </c>
    </row>
    <row r="122" customFormat="false" ht="15" hidden="false" customHeight="false" outlineLevel="0" collapsed="false">
      <c r="A122" s="4" t="n">
        <v>39360</v>
      </c>
      <c r="B122" s="0" t="s">
        <v>19</v>
      </c>
      <c r="C122" s="1" t="n">
        <v>10</v>
      </c>
      <c r="D122" s="0" t="s">
        <v>18</v>
      </c>
    </row>
    <row r="123" customFormat="false" ht="15" hidden="false" customHeight="false" outlineLevel="0" collapsed="false">
      <c r="A123" s="4" t="n">
        <v>39319</v>
      </c>
      <c r="B123" s="0" t="s">
        <v>20</v>
      </c>
      <c r="C123" s="1" t="n">
        <v>1</v>
      </c>
      <c r="D123" s="0" t="s">
        <v>13</v>
      </c>
      <c r="K123" s="2" t="n">
        <v>2</v>
      </c>
    </row>
    <row r="124" customFormat="false" ht="15" hidden="false" customHeight="false" outlineLevel="0" collapsed="false">
      <c r="A124" s="4" t="n">
        <v>39319</v>
      </c>
      <c r="B124" s="0" t="s">
        <v>20</v>
      </c>
      <c r="C124" s="1" t="n">
        <v>1</v>
      </c>
      <c r="D124" s="0" t="s">
        <v>14</v>
      </c>
    </row>
    <row r="125" customFormat="false" ht="15" hidden="false" customHeight="false" outlineLevel="0" collapsed="false">
      <c r="A125" s="4" t="n">
        <v>39319</v>
      </c>
      <c r="B125" s="0" t="s">
        <v>20</v>
      </c>
      <c r="C125" s="1" t="n">
        <v>1</v>
      </c>
      <c r="D125" s="0" t="s">
        <v>15</v>
      </c>
    </row>
    <row r="126" customFormat="false" ht="15" hidden="false" customHeight="false" outlineLevel="0" collapsed="false">
      <c r="A126" s="4" t="n">
        <v>39319</v>
      </c>
      <c r="B126" s="0" t="s">
        <v>20</v>
      </c>
      <c r="C126" s="1" t="n">
        <v>1</v>
      </c>
      <c r="D126" s="0" t="s">
        <v>16</v>
      </c>
    </row>
    <row r="127" customFormat="false" ht="15" hidden="false" customHeight="false" outlineLevel="0" collapsed="false">
      <c r="A127" s="4" t="n">
        <v>39319</v>
      </c>
      <c r="B127" s="0" t="s">
        <v>20</v>
      </c>
      <c r="C127" s="1" t="n">
        <v>1</v>
      </c>
      <c r="D127" s="0" t="s">
        <v>17</v>
      </c>
      <c r="G127" s="1" t="n">
        <v>2</v>
      </c>
      <c r="J127" s="1" t="n">
        <v>1</v>
      </c>
    </row>
    <row r="128" customFormat="false" ht="15" hidden="false" customHeight="false" outlineLevel="0" collapsed="false">
      <c r="A128" s="4" t="n">
        <v>39319</v>
      </c>
      <c r="B128" s="0" t="s">
        <v>20</v>
      </c>
      <c r="C128" s="1" t="n">
        <v>1</v>
      </c>
      <c r="D128" s="0" t="s">
        <v>18</v>
      </c>
    </row>
    <row r="129" customFormat="false" ht="15" hidden="false" customHeight="false" outlineLevel="0" collapsed="false">
      <c r="A129" s="4" t="n">
        <v>39319</v>
      </c>
      <c r="B129" s="0" t="s">
        <v>20</v>
      </c>
      <c r="C129" s="1" t="n">
        <v>2</v>
      </c>
      <c r="D129" s="0" t="s">
        <v>13</v>
      </c>
      <c r="K129" s="2" t="n">
        <v>2</v>
      </c>
    </row>
    <row r="130" customFormat="false" ht="15" hidden="false" customHeight="false" outlineLevel="0" collapsed="false">
      <c r="A130" s="4" t="n">
        <v>39319</v>
      </c>
      <c r="B130" s="0" t="s">
        <v>20</v>
      </c>
      <c r="C130" s="1" t="n">
        <v>2</v>
      </c>
      <c r="D130" s="0" t="s">
        <v>14</v>
      </c>
      <c r="E130" s="1" t="n">
        <v>1</v>
      </c>
    </row>
    <row r="131" customFormat="false" ht="15" hidden="false" customHeight="false" outlineLevel="0" collapsed="false">
      <c r="A131" s="4" t="n">
        <v>39319</v>
      </c>
      <c r="B131" s="0" t="s">
        <v>20</v>
      </c>
      <c r="C131" s="1" t="n">
        <v>2</v>
      </c>
      <c r="D131" s="0" t="s">
        <v>15</v>
      </c>
      <c r="I131" s="1" t="n">
        <v>1</v>
      </c>
    </row>
    <row r="132" customFormat="false" ht="15" hidden="false" customHeight="false" outlineLevel="0" collapsed="false">
      <c r="A132" s="4" t="n">
        <v>39319</v>
      </c>
      <c r="B132" s="0" t="s">
        <v>20</v>
      </c>
      <c r="C132" s="1" t="n">
        <v>2</v>
      </c>
      <c r="D132" s="0" t="s">
        <v>16</v>
      </c>
      <c r="G132" s="1" t="n">
        <v>1</v>
      </c>
      <c r="I132" s="1" t="n">
        <v>1</v>
      </c>
      <c r="J132" s="1" t="n">
        <v>1</v>
      </c>
    </row>
    <row r="133" customFormat="false" ht="15" hidden="false" customHeight="false" outlineLevel="0" collapsed="false">
      <c r="A133" s="4" t="n">
        <v>39319</v>
      </c>
      <c r="B133" s="0" t="s">
        <v>20</v>
      </c>
      <c r="C133" s="1" t="n">
        <v>2</v>
      </c>
      <c r="D133" s="0" t="s">
        <v>17</v>
      </c>
      <c r="F133" s="1" t="n">
        <v>1</v>
      </c>
      <c r="G133" s="1" t="n">
        <v>1</v>
      </c>
      <c r="H133" s="1" t="n">
        <v>3</v>
      </c>
      <c r="J133" s="1" t="n">
        <v>3</v>
      </c>
    </row>
    <row r="134" customFormat="false" ht="15" hidden="false" customHeight="false" outlineLevel="0" collapsed="false">
      <c r="A134" s="4" t="n">
        <v>39319</v>
      </c>
      <c r="B134" s="0" t="s">
        <v>20</v>
      </c>
      <c r="C134" s="1" t="n">
        <v>2</v>
      </c>
      <c r="D134" s="0" t="s">
        <v>18</v>
      </c>
    </row>
    <row r="135" customFormat="false" ht="15" hidden="false" customHeight="false" outlineLevel="0" collapsed="false">
      <c r="A135" s="4" t="n">
        <v>39319</v>
      </c>
      <c r="B135" s="0" t="s">
        <v>20</v>
      </c>
      <c r="C135" s="1" t="n">
        <v>3</v>
      </c>
      <c r="D135" s="0" t="s">
        <v>13</v>
      </c>
      <c r="K135" s="2" t="n">
        <v>7</v>
      </c>
    </row>
    <row r="136" customFormat="false" ht="15" hidden="false" customHeight="false" outlineLevel="0" collapsed="false">
      <c r="A136" s="4" t="n">
        <v>39319</v>
      </c>
      <c r="B136" s="0" t="s">
        <v>20</v>
      </c>
      <c r="C136" s="1" t="n">
        <v>3</v>
      </c>
      <c r="D136" s="0" t="s">
        <v>14</v>
      </c>
    </row>
    <row r="137" customFormat="false" ht="15" hidden="false" customHeight="false" outlineLevel="0" collapsed="false">
      <c r="A137" s="4" t="n">
        <v>39319</v>
      </c>
      <c r="B137" s="0" t="s">
        <v>20</v>
      </c>
      <c r="C137" s="1" t="n">
        <v>3</v>
      </c>
      <c r="D137" s="0" t="s">
        <v>15</v>
      </c>
    </row>
    <row r="138" customFormat="false" ht="15" hidden="false" customHeight="false" outlineLevel="0" collapsed="false">
      <c r="A138" s="4" t="n">
        <v>39319</v>
      </c>
      <c r="B138" s="0" t="s">
        <v>20</v>
      </c>
      <c r="C138" s="1" t="n">
        <v>3</v>
      </c>
      <c r="D138" s="0" t="s">
        <v>16</v>
      </c>
    </row>
    <row r="139" customFormat="false" ht="15" hidden="false" customHeight="false" outlineLevel="0" collapsed="false">
      <c r="A139" s="4" t="n">
        <v>39319</v>
      </c>
      <c r="B139" s="0" t="s">
        <v>20</v>
      </c>
      <c r="C139" s="1" t="n">
        <v>3</v>
      </c>
      <c r="D139" s="0" t="s">
        <v>17</v>
      </c>
    </row>
    <row r="140" customFormat="false" ht="15" hidden="false" customHeight="false" outlineLevel="0" collapsed="false">
      <c r="A140" s="4" t="n">
        <v>39319</v>
      </c>
      <c r="B140" s="0" t="s">
        <v>20</v>
      </c>
      <c r="C140" s="1" t="n">
        <v>3</v>
      </c>
      <c r="D140" s="0" t="s">
        <v>18</v>
      </c>
    </row>
    <row r="141" customFormat="false" ht="15" hidden="false" customHeight="false" outlineLevel="0" collapsed="false">
      <c r="A141" s="4" t="n">
        <v>39319</v>
      </c>
      <c r="B141" s="0" t="s">
        <v>20</v>
      </c>
      <c r="C141" s="1" t="n">
        <v>4</v>
      </c>
      <c r="D141" s="0" t="s">
        <v>13</v>
      </c>
      <c r="E141" s="1" t="n">
        <v>5</v>
      </c>
      <c r="K141" s="2" t="n">
        <v>0</v>
      </c>
    </row>
    <row r="142" customFormat="false" ht="15" hidden="false" customHeight="false" outlineLevel="0" collapsed="false">
      <c r="A142" s="4" t="n">
        <v>39319</v>
      </c>
      <c r="B142" s="0" t="s">
        <v>20</v>
      </c>
      <c r="C142" s="1" t="n">
        <v>4</v>
      </c>
      <c r="D142" s="0" t="s">
        <v>14</v>
      </c>
    </row>
    <row r="143" customFormat="false" ht="15" hidden="false" customHeight="false" outlineLevel="0" collapsed="false">
      <c r="A143" s="4" t="n">
        <v>39319</v>
      </c>
      <c r="B143" s="0" t="s">
        <v>20</v>
      </c>
      <c r="C143" s="1" t="n">
        <v>4</v>
      </c>
      <c r="D143" s="0" t="s">
        <v>15</v>
      </c>
      <c r="I143" s="1" t="n">
        <v>1</v>
      </c>
    </row>
    <row r="144" customFormat="false" ht="15" hidden="false" customHeight="false" outlineLevel="0" collapsed="false">
      <c r="A144" s="4" t="n">
        <v>39319</v>
      </c>
      <c r="B144" s="0" t="s">
        <v>20</v>
      </c>
      <c r="C144" s="1" t="n">
        <v>4</v>
      </c>
      <c r="D144" s="0" t="s">
        <v>16</v>
      </c>
    </row>
    <row r="145" customFormat="false" ht="15" hidden="false" customHeight="false" outlineLevel="0" collapsed="false">
      <c r="A145" s="4" t="n">
        <v>39319</v>
      </c>
      <c r="B145" s="0" t="s">
        <v>20</v>
      </c>
      <c r="C145" s="1" t="n">
        <v>4</v>
      </c>
      <c r="D145" s="0" t="s">
        <v>17</v>
      </c>
      <c r="G145" s="1" t="n">
        <v>1</v>
      </c>
    </row>
    <row r="146" customFormat="false" ht="15" hidden="false" customHeight="false" outlineLevel="0" collapsed="false">
      <c r="A146" s="4" t="n">
        <v>39319</v>
      </c>
      <c r="B146" s="0" t="s">
        <v>20</v>
      </c>
      <c r="C146" s="1" t="n">
        <v>4</v>
      </c>
      <c r="D146" s="0" t="s">
        <v>18</v>
      </c>
    </row>
    <row r="147" customFormat="false" ht="15" hidden="false" customHeight="false" outlineLevel="0" collapsed="false">
      <c r="A147" s="4" t="n">
        <v>39320</v>
      </c>
      <c r="B147" s="0" t="s">
        <v>20</v>
      </c>
      <c r="C147" s="1" t="n">
        <v>5</v>
      </c>
      <c r="D147" s="0" t="s">
        <v>13</v>
      </c>
      <c r="K147" s="2" t="n">
        <v>0</v>
      </c>
    </row>
    <row r="148" customFormat="false" ht="15" hidden="false" customHeight="false" outlineLevel="0" collapsed="false">
      <c r="A148" s="4" t="n">
        <v>39320</v>
      </c>
      <c r="B148" s="0" t="s">
        <v>20</v>
      </c>
      <c r="C148" s="1" t="n">
        <v>5</v>
      </c>
      <c r="D148" s="0" t="s">
        <v>14</v>
      </c>
    </row>
    <row r="149" customFormat="false" ht="15" hidden="false" customHeight="false" outlineLevel="0" collapsed="false">
      <c r="A149" s="4" t="n">
        <v>39320</v>
      </c>
      <c r="B149" s="0" t="s">
        <v>20</v>
      </c>
      <c r="C149" s="1" t="n">
        <v>5</v>
      </c>
      <c r="D149" s="0" t="s">
        <v>15</v>
      </c>
    </row>
    <row r="150" customFormat="false" ht="15" hidden="false" customHeight="false" outlineLevel="0" collapsed="false">
      <c r="A150" s="4" t="n">
        <v>39320</v>
      </c>
      <c r="B150" s="0" t="s">
        <v>20</v>
      </c>
      <c r="C150" s="1" t="n">
        <v>5</v>
      </c>
      <c r="D150" s="0" t="s">
        <v>16</v>
      </c>
    </row>
    <row r="151" customFormat="false" ht="15" hidden="false" customHeight="false" outlineLevel="0" collapsed="false">
      <c r="A151" s="4" t="n">
        <v>39320</v>
      </c>
      <c r="B151" s="0" t="s">
        <v>20</v>
      </c>
      <c r="C151" s="1" t="n">
        <v>5</v>
      </c>
      <c r="D151" s="0" t="s">
        <v>17</v>
      </c>
      <c r="G151" s="1" t="n">
        <v>1</v>
      </c>
      <c r="H151" s="1" t="n">
        <v>2</v>
      </c>
      <c r="I151" s="1" t="n">
        <v>1</v>
      </c>
      <c r="J151" s="1" t="n">
        <v>1</v>
      </c>
    </row>
    <row r="152" customFormat="false" ht="15" hidden="false" customHeight="false" outlineLevel="0" collapsed="false">
      <c r="A152" s="4" t="n">
        <v>39320</v>
      </c>
      <c r="B152" s="0" t="s">
        <v>20</v>
      </c>
      <c r="C152" s="1" t="n">
        <v>5</v>
      </c>
      <c r="D152" s="0" t="s">
        <v>18</v>
      </c>
    </row>
    <row r="153" customFormat="false" ht="15" hidden="false" customHeight="false" outlineLevel="0" collapsed="false">
      <c r="A153" s="4" t="n">
        <v>39320</v>
      </c>
      <c r="B153" s="0" t="s">
        <v>20</v>
      </c>
      <c r="C153" s="1" t="n">
        <v>6</v>
      </c>
      <c r="D153" s="0" t="s">
        <v>13</v>
      </c>
      <c r="K153" s="2" t="n">
        <v>4</v>
      </c>
    </row>
    <row r="154" customFormat="false" ht="15" hidden="false" customHeight="false" outlineLevel="0" collapsed="false">
      <c r="A154" s="4" t="n">
        <v>39320</v>
      </c>
      <c r="B154" s="0" t="s">
        <v>20</v>
      </c>
      <c r="C154" s="1" t="n">
        <v>6</v>
      </c>
      <c r="D154" s="0" t="s">
        <v>14</v>
      </c>
    </row>
    <row r="155" customFormat="false" ht="15" hidden="false" customHeight="false" outlineLevel="0" collapsed="false">
      <c r="A155" s="4" t="n">
        <v>39320</v>
      </c>
      <c r="B155" s="0" t="s">
        <v>20</v>
      </c>
      <c r="C155" s="1" t="n">
        <v>6</v>
      </c>
      <c r="D155" s="0" t="s">
        <v>15</v>
      </c>
    </row>
    <row r="156" customFormat="false" ht="15" hidden="false" customHeight="false" outlineLevel="0" collapsed="false">
      <c r="A156" s="4" t="n">
        <v>39320</v>
      </c>
      <c r="B156" s="0" t="s">
        <v>20</v>
      </c>
      <c r="C156" s="1" t="n">
        <v>6</v>
      </c>
      <c r="D156" s="0" t="s">
        <v>16</v>
      </c>
      <c r="H156" s="1" t="n">
        <v>1</v>
      </c>
    </row>
    <row r="157" customFormat="false" ht="15" hidden="false" customHeight="false" outlineLevel="0" collapsed="false">
      <c r="A157" s="4" t="n">
        <v>39320</v>
      </c>
      <c r="B157" s="0" t="s">
        <v>20</v>
      </c>
      <c r="C157" s="1" t="n">
        <v>6</v>
      </c>
      <c r="D157" s="0" t="s">
        <v>17</v>
      </c>
    </row>
    <row r="158" customFormat="false" ht="15" hidden="false" customHeight="false" outlineLevel="0" collapsed="false">
      <c r="A158" s="4" t="n">
        <v>39320</v>
      </c>
      <c r="B158" s="0" t="s">
        <v>20</v>
      </c>
      <c r="C158" s="1" t="n">
        <v>6</v>
      </c>
      <c r="D158" s="0" t="s">
        <v>18</v>
      </c>
    </row>
    <row r="159" customFormat="false" ht="15" hidden="false" customHeight="false" outlineLevel="0" collapsed="false">
      <c r="A159" s="4" t="n">
        <v>39320</v>
      </c>
      <c r="B159" s="0" t="s">
        <v>20</v>
      </c>
      <c r="C159" s="1" t="n">
        <v>7</v>
      </c>
      <c r="D159" s="0" t="s">
        <v>13</v>
      </c>
      <c r="K159" s="2" t="n">
        <v>2</v>
      </c>
    </row>
    <row r="160" customFormat="false" ht="15" hidden="false" customHeight="false" outlineLevel="0" collapsed="false">
      <c r="A160" s="4" t="n">
        <v>39320</v>
      </c>
      <c r="B160" s="0" t="s">
        <v>20</v>
      </c>
      <c r="C160" s="1" t="n">
        <v>7</v>
      </c>
      <c r="D160" s="0" t="s">
        <v>14</v>
      </c>
      <c r="E160" s="1" t="n">
        <v>3</v>
      </c>
    </row>
    <row r="161" customFormat="false" ht="15" hidden="false" customHeight="false" outlineLevel="0" collapsed="false">
      <c r="A161" s="4" t="n">
        <v>39320</v>
      </c>
      <c r="B161" s="0" t="s">
        <v>20</v>
      </c>
      <c r="C161" s="1" t="n">
        <v>7</v>
      </c>
      <c r="D161" s="0" t="s">
        <v>15</v>
      </c>
    </row>
    <row r="162" customFormat="false" ht="15" hidden="false" customHeight="false" outlineLevel="0" collapsed="false">
      <c r="A162" s="4" t="n">
        <v>39320</v>
      </c>
      <c r="B162" s="0" t="s">
        <v>20</v>
      </c>
      <c r="C162" s="1" t="n">
        <v>7</v>
      </c>
      <c r="D162" s="0" t="s">
        <v>16</v>
      </c>
    </row>
    <row r="163" customFormat="false" ht="15" hidden="false" customHeight="false" outlineLevel="0" collapsed="false">
      <c r="A163" s="4" t="n">
        <v>39320</v>
      </c>
      <c r="B163" s="0" t="s">
        <v>20</v>
      </c>
      <c r="C163" s="1" t="n">
        <v>7</v>
      </c>
      <c r="D163" s="0" t="s">
        <v>17</v>
      </c>
      <c r="H163" s="1" t="n">
        <v>3</v>
      </c>
      <c r="I163" s="1" t="n">
        <v>3</v>
      </c>
    </row>
    <row r="164" customFormat="false" ht="15" hidden="false" customHeight="false" outlineLevel="0" collapsed="false">
      <c r="A164" s="4" t="n">
        <v>39320</v>
      </c>
      <c r="B164" s="0" t="s">
        <v>20</v>
      </c>
      <c r="C164" s="1" t="n">
        <v>7</v>
      </c>
      <c r="D164" s="0" t="s">
        <v>18</v>
      </c>
    </row>
    <row r="165" customFormat="false" ht="15" hidden="false" customHeight="false" outlineLevel="0" collapsed="false">
      <c r="A165" s="4" t="n">
        <v>39320</v>
      </c>
      <c r="B165" s="0" t="s">
        <v>20</v>
      </c>
      <c r="C165" s="1" t="n">
        <v>8</v>
      </c>
      <c r="D165" s="0" t="s">
        <v>13</v>
      </c>
      <c r="K165" s="2" t="n">
        <v>2</v>
      </c>
    </row>
    <row r="166" customFormat="false" ht="15" hidden="false" customHeight="false" outlineLevel="0" collapsed="false">
      <c r="A166" s="4" t="n">
        <v>39320</v>
      </c>
      <c r="B166" s="0" t="s">
        <v>20</v>
      </c>
      <c r="C166" s="1" t="n">
        <v>8</v>
      </c>
      <c r="D166" s="0" t="s">
        <v>14</v>
      </c>
      <c r="E166" s="1" t="n">
        <v>1</v>
      </c>
    </row>
    <row r="167" customFormat="false" ht="15" hidden="false" customHeight="false" outlineLevel="0" collapsed="false">
      <c r="A167" s="4" t="n">
        <v>39320</v>
      </c>
      <c r="B167" s="0" t="s">
        <v>20</v>
      </c>
      <c r="C167" s="1" t="n">
        <v>8</v>
      </c>
      <c r="D167" s="0" t="s">
        <v>15</v>
      </c>
    </row>
    <row r="168" customFormat="false" ht="15" hidden="false" customHeight="false" outlineLevel="0" collapsed="false">
      <c r="A168" s="4" t="n">
        <v>39320</v>
      </c>
      <c r="B168" s="0" t="s">
        <v>20</v>
      </c>
      <c r="C168" s="1" t="n">
        <v>8</v>
      </c>
      <c r="D168" s="0" t="s">
        <v>16</v>
      </c>
      <c r="I168" s="1" t="n">
        <v>1</v>
      </c>
    </row>
    <row r="169" customFormat="false" ht="15" hidden="false" customHeight="false" outlineLevel="0" collapsed="false">
      <c r="A169" s="4" t="n">
        <v>39320</v>
      </c>
      <c r="B169" s="0" t="s">
        <v>20</v>
      </c>
      <c r="C169" s="1" t="n">
        <v>8</v>
      </c>
      <c r="D169" s="0" t="s">
        <v>17</v>
      </c>
      <c r="F169" s="1" t="n">
        <v>2</v>
      </c>
      <c r="G169" s="1" t="n">
        <v>1</v>
      </c>
      <c r="H169" s="1" t="n">
        <v>2</v>
      </c>
      <c r="I169" s="1" t="n">
        <v>1</v>
      </c>
    </row>
    <row r="170" customFormat="false" ht="15" hidden="false" customHeight="false" outlineLevel="0" collapsed="false">
      <c r="A170" s="4" t="n">
        <v>39320</v>
      </c>
      <c r="B170" s="0" t="s">
        <v>20</v>
      </c>
      <c r="C170" s="1" t="n">
        <v>8</v>
      </c>
      <c r="D170" s="0" t="s">
        <v>18</v>
      </c>
      <c r="E170" s="1" t="n">
        <v>2</v>
      </c>
    </row>
    <row r="171" customFormat="false" ht="15" hidden="false" customHeight="false" outlineLevel="0" collapsed="false">
      <c r="A171" s="4" t="n">
        <v>39320</v>
      </c>
      <c r="B171" s="0" t="s">
        <v>20</v>
      </c>
      <c r="C171" s="1" t="n">
        <v>9</v>
      </c>
      <c r="D171" s="0" t="s">
        <v>13</v>
      </c>
      <c r="K171" s="2" t="n">
        <v>0</v>
      </c>
    </row>
    <row r="172" customFormat="false" ht="15" hidden="false" customHeight="false" outlineLevel="0" collapsed="false">
      <c r="A172" s="4" t="n">
        <v>39320</v>
      </c>
      <c r="B172" s="0" t="s">
        <v>20</v>
      </c>
      <c r="C172" s="1" t="n">
        <v>9</v>
      </c>
      <c r="D172" s="0" t="s">
        <v>14</v>
      </c>
    </row>
    <row r="173" customFormat="false" ht="15" hidden="false" customHeight="false" outlineLevel="0" collapsed="false">
      <c r="A173" s="4" t="n">
        <v>39320</v>
      </c>
      <c r="B173" s="0" t="s">
        <v>20</v>
      </c>
      <c r="C173" s="1" t="n">
        <v>9</v>
      </c>
      <c r="D173" s="0" t="s">
        <v>15</v>
      </c>
    </row>
    <row r="174" customFormat="false" ht="15" hidden="false" customHeight="false" outlineLevel="0" collapsed="false">
      <c r="A174" s="4" t="n">
        <v>39320</v>
      </c>
      <c r="B174" s="0" t="s">
        <v>20</v>
      </c>
      <c r="C174" s="1" t="n">
        <v>9</v>
      </c>
      <c r="D174" s="0" t="s">
        <v>16</v>
      </c>
    </row>
    <row r="175" customFormat="false" ht="15" hidden="false" customHeight="false" outlineLevel="0" collapsed="false">
      <c r="A175" s="4" t="n">
        <v>39320</v>
      </c>
      <c r="B175" s="0" t="s">
        <v>20</v>
      </c>
      <c r="C175" s="1" t="n">
        <v>9</v>
      </c>
      <c r="D175" s="0" t="s">
        <v>17</v>
      </c>
      <c r="F175" s="1" t="n">
        <v>1</v>
      </c>
      <c r="G175" s="1" t="n">
        <v>2</v>
      </c>
      <c r="J175" s="1" t="n">
        <v>2</v>
      </c>
    </row>
    <row r="176" customFormat="false" ht="15" hidden="false" customHeight="false" outlineLevel="0" collapsed="false">
      <c r="A176" s="4" t="n">
        <v>39320</v>
      </c>
      <c r="B176" s="0" t="s">
        <v>20</v>
      </c>
      <c r="C176" s="1" t="n">
        <v>9</v>
      </c>
      <c r="D176" s="0" t="s">
        <v>18</v>
      </c>
    </row>
    <row r="177" customFormat="false" ht="15" hidden="false" customHeight="false" outlineLevel="0" collapsed="false">
      <c r="A177" s="4" t="n">
        <v>39320</v>
      </c>
      <c r="B177" s="0" t="s">
        <v>20</v>
      </c>
      <c r="C177" s="1" t="n">
        <v>10</v>
      </c>
      <c r="D177" s="0" t="s">
        <v>13</v>
      </c>
      <c r="K177" s="2" t="n">
        <v>0</v>
      </c>
    </row>
    <row r="178" customFormat="false" ht="15" hidden="false" customHeight="false" outlineLevel="0" collapsed="false">
      <c r="A178" s="4" t="n">
        <v>39320</v>
      </c>
      <c r="B178" s="0" t="s">
        <v>20</v>
      </c>
      <c r="C178" s="1" t="n">
        <v>10</v>
      </c>
      <c r="D178" s="0" t="s">
        <v>14</v>
      </c>
    </row>
    <row r="179" customFormat="false" ht="15" hidden="false" customHeight="false" outlineLevel="0" collapsed="false">
      <c r="A179" s="4" t="n">
        <v>39320</v>
      </c>
      <c r="B179" s="0" t="s">
        <v>20</v>
      </c>
      <c r="C179" s="1" t="n">
        <v>10</v>
      </c>
      <c r="D179" s="0" t="s">
        <v>15</v>
      </c>
    </row>
    <row r="180" customFormat="false" ht="15" hidden="false" customHeight="false" outlineLevel="0" collapsed="false">
      <c r="A180" s="4" t="n">
        <v>39320</v>
      </c>
      <c r="B180" s="0" t="s">
        <v>20</v>
      </c>
      <c r="C180" s="1" t="n">
        <v>10</v>
      </c>
      <c r="D180" s="0" t="s">
        <v>16</v>
      </c>
      <c r="H180" s="1" t="n">
        <v>1</v>
      </c>
      <c r="J180" s="1" t="n">
        <v>1</v>
      </c>
    </row>
    <row r="181" customFormat="false" ht="15" hidden="false" customHeight="false" outlineLevel="0" collapsed="false">
      <c r="A181" s="4" t="n">
        <v>39320</v>
      </c>
      <c r="B181" s="0" t="s">
        <v>20</v>
      </c>
      <c r="C181" s="1" t="n">
        <v>10</v>
      </c>
      <c r="D181" s="0" t="s">
        <v>17</v>
      </c>
      <c r="G181" s="1" t="n">
        <v>4</v>
      </c>
      <c r="H181" s="1" t="n">
        <v>2</v>
      </c>
      <c r="J181" s="1" t="n">
        <v>6</v>
      </c>
    </row>
    <row r="182" customFormat="false" ht="15" hidden="false" customHeight="false" outlineLevel="0" collapsed="false">
      <c r="A182" s="4" t="n">
        <v>39320</v>
      </c>
      <c r="B182" s="0" t="s">
        <v>20</v>
      </c>
      <c r="C182" s="1" t="n">
        <v>10</v>
      </c>
      <c r="D182" s="0" t="s">
        <v>18</v>
      </c>
    </row>
    <row r="183" customFormat="false" ht="15" hidden="false" customHeight="false" outlineLevel="0" collapsed="false">
      <c r="A183" s="4" t="n">
        <v>39257</v>
      </c>
      <c r="B183" s="0" t="s">
        <v>21</v>
      </c>
      <c r="C183" s="1" t="n">
        <v>1</v>
      </c>
      <c r="D183" s="0" t="s">
        <v>13</v>
      </c>
      <c r="K183" s="2" t="n">
        <v>0</v>
      </c>
    </row>
    <row r="184" customFormat="false" ht="15" hidden="false" customHeight="false" outlineLevel="0" collapsed="false">
      <c r="A184" s="4" t="n">
        <v>39257</v>
      </c>
      <c r="B184" s="0" t="s">
        <v>21</v>
      </c>
      <c r="C184" s="1" t="n">
        <v>1</v>
      </c>
      <c r="D184" s="0" t="s">
        <v>14</v>
      </c>
      <c r="E184" s="1" t="n">
        <v>4</v>
      </c>
      <c r="F184" s="1" t="n">
        <v>1</v>
      </c>
    </row>
    <row r="185" customFormat="false" ht="15" hidden="false" customHeight="false" outlineLevel="0" collapsed="false">
      <c r="A185" s="4" t="n">
        <v>39257</v>
      </c>
      <c r="B185" s="0" t="s">
        <v>21</v>
      </c>
      <c r="C185" s="1" t="n">
        <v>1</v>
      </c>
      <c r="D185" s="0" t="s">
        <v>15</v>
      </c>
      <c r="F185" s="1" t="n">
        <v>1</v>
      </c>
    </row>
    <row r="186" customFormat="false" ht="15" hidden="false" customHeight="false" outlineLevel="0" collapsed="false">
      <c r="A186" s="4" t="n">
        <v>39257</v>
      </c>
      <c r="B186" s="0" t="s">
        <v>21</v>
      </c>
      <c r="C186" s="1" t="n">
        <v>1</v>
      </c>
      <c r="D186" s="0" t="s">
        <v>16</v>
      </c>
      <c r="I186" s="1" t="n">
        <v>2</v>
      </c>
    </row>
    <row r="187" customFormat="false" ht="15" hidden="false" customHeight="false" outlineLevel="0" collapsed="false">
      <c r="A187" s="4" t="n">
        <v>39257</v>
      </c>
      <c r="B187" s="0" t="s">
        <v>21</v>
      </c>
      <c r="C187" s="1" t="n">
        <v>1</v>
      </c>
      <c r="D187" s="0" t="s">
        <v>17</v>
      </c>
      <c r="F187" s="1" t="n">
        <v>3</v>
      </c>
      <c r="G187" s="1" t="n">
        <v>2</v>
      </c>
      <c r="H187" s="1" t="n">
        <v>1</v>
      </c>
      <c r="I187" s="1" t="n">
        <v>1</v>
      </c>
      <c r="J187" s="1" t="n">
        <v>2</v>
      </c>
    </row>
    <row r="188" customFormat="false" ht="15" hidden="false" customHeight="false" outlineLevel="0" collapsed="false">
      <c r="A188" s="4" t="n">
        <v>39257</v>
      </c>
      <c r="B188" s="0" t="s">
        <v>21</v>
      </c>
      <c r="C188" s="1" t="n">
        <v>1</v>
      </c>
      <c r="D188" s="0" t="s">
        <v>18</v>
      </c>
    </row>
    <row r="189" customFormat="false" ht="15" hidden="false" customHeight="false" outlineLevel="0" collapsed="false">
      <c r="A189" s="4" t="n">
        <v>39257</v>
      </c>
      <c r="B189" s="0" t="s">
        <v>21</v>
      </c>
      <c r="C189" s="1" t="n">
        <v>2</v>
      </c>
      <c r="D189" s="0" t="s">
        <v>13</v>
      </c>
      <c r="K189" s="2" t="n">
        <v>0</v>
      </c>
    </row>
    <row r="190" customFormat="false" ht="15" hidden="false" customHeight="false" outlineLevel="0" collapsed="false">
      <c r="A190" s="4" t="n">
        <v>39257</v>
      </c>
      <c r="B190" s="0" t="s">
        <v>21</v>
      </c>
      <c r="C190" s="1" t="n">
        <v>2</v>
      </c>
      <c r="D190" s="0" t="s">
        <v>14</v>
      </c>
      <c r="E190" s="1" t="n">
        <v>3</v>
      </c>
      <c r="F190" s="1" t="n">
        <v>7</v>
      </c>
      <c r="G190" s="1" t="n">
        <v>1</v>
      </c>
    </row>
    <row r="191" customFormat="false" ht="15" hidden="false" customHeight="false" outlineLevel="0" collapsed="false">
      <c r="A191" s="4" t="n">
        <v>39257</v>
      </c>
      <c r="B191" s="0" t="s">
        <v>21</v>
      </c>
      <c r="C191" s="1" t="n">
        <v>2</v>
      </c>
      <c r="D191" s="0" t="s">
        <v>15</v>
      </c>
    </row>
    <row r="192" customFormat="false" ht="15" hidden="false" customHeight="false" outlineLevel="0" collapsed="false">
      <c r="A192" s="4" t="n">
        <v>39257</v>
      </c>
      <c r="B192" s="0" t="s">
        <v>21</v>
      </c>
      <c r="C192" s="1" t="n">
        <v>2</v>
      </c>
      <c r="D192" s="0" t="s">
        <v>16</v>
      </c>
      <c r="G192" s="1" t="n">
        <v>2</v>
      </c>
      <c r="I192" s="1" t="n">
        <v>1</v>
      </c>
    </row>
    <row r="193" customFormat="false" ht="15" hidden="false" customHeight="false" outlineLevel="0" collapsed="false">
      <c r="A193" s="4" t="n">
        <v>39257</v>
      </c>
      <c r="B193" s="0" t="s">
        <v>21</v>
      </c>
      <c r="C193" s="1" t="n">
        <v>2</v>
      </c>
      <c r="D193" s="0" t="s">
        <v>17</v>
      </c>
      <c r="G193" s="1" t="n">
        <v>1</v>
      </c>
      <c r="I193" s="1" t="n">
        <v>2</v>
      </c>
    </row>
    <row r="194" customFormat="false" ht="15" hidden="false" customHeight="false" outlineLevel="0" collapsed="false">
      <c r="A194" s="4" t="n">
        <v>39257</v>
      </c>
      <c r="B194" s="0" t="s">
        <v>21</v>
      </c>
      <c r="C194" s="1" t="n">
        <v>2</v>
      </c>
      <c r="D194" s="0" t="s">
        <v>18</v>
      </c>
    </row>
    <row r="195" customFormat="false" ht="15" hidden="false" customHeight="false" outlineLevel="0" collapsed="false">
      <c r="A195" s="4" t="n">
        <v>39257</v>
      </c>
      <c r="B195" s="0" t="s">
        <v>21</v>
      </c>
      <c r="C195" s="1" t="n">
        <v>3</v>
      </c>
      <c r="D195" s="0" t="s">
        <v>13</v>
      </c>
      <c r="E195" s="1" t="n">
        <v>12</v>
      </c>
      <c r="F195" s="1" t="n">
        <v>1</v>
      </c>
      <c r="K195" s="2" t="n">
        <v>0</v>
      </c>
    </row>
    <row r="196" customFormat="false" ht="15" hidden="false" customHeight="false" outlineLevel="0" collapsed="false">
      <c r="A196" s="4" t="n">
        <v>39257</v>
      </c>
      <c r="B196" s="0" t="s">
        <v>21</v>
      </c>
      <c r="C196" s="1" t="n">
        <v>3</v>
      </c>
      <c r="D196" s="0" t="s">
        <v>14</v>
      </c>
      <c r="F196" s="1" t="n">
        <v>2</v>
      </c>
    </row>
    <row r="197" customFormat="false" ht="15" hidden="false" customHeight="false" outlineLevel="0" collapsed="false">
      <c r="A197" s="4" t="n">
        <v>39257</v>
      </c>
      <c r="B197" s="0" t="s">
        <v>21</v>
      </c>
      <c r="C197" s="1" t="n">
        <v>3</v>
      </c>
      <c r="D197" s="0" t="s">
        <v>15</v>
      </c>
    </row>
    <row r="198" customFormat="false" ht="15" hidden="false" customHeight="false" outlineLevel="0" collapsed="false">
      <c r="A198" s="4" t="n">
        <v>39257</v>
      </c>
      <c r="B198" s="0" t="s">
        <v>21</v>
      </c>
      <c r="C198" s="1" t="n">
        <v>3</v>
      </c>
      <c r="D198" s="0" t="s">
        <v>16</v>
      </c>
    </row>
    <row r="199" customFormat="false" ht="15" hidden="false" customHeight="false" outlineLevel="0" collapsed="false">
      <c r="A199" s="4" t="n">
        <v>39257</v>
      </c>
      <c r="B199" s="0" t="s">
        <v>21</v>
      </c>
      <c r="C199" s="1" t="n">
        <v>3</v>
      </c>
      <c r="D199" s="0" t="s">
        <v>17</v>
      </c>
      <c r="E199" s="1" t="n">
        <v>2</v>
      </c>
      <c r="F199" s="1" t="n">
        <v>1</v>
      </c>
      <c r="G199" s="1" t="n">
        <v>1</v>
      </c>
      <c r="H199" s="1" t="n">
        <v>4</v>
      </c>
      <c r="I199" s="1" t="n">
        <v>2</v>
      </c>
      <c r="J199" s="1" t="n">
        <v>2</v>
      </c>
    </row>
    <row r="200" customFormat="false" ht="15" hidden="false" customHeight="false" outlineLevel="0" collapsed="false">
      <c r="A200" s="4" t="n">
        <v>39257</v>
      </c>
      <c r="B200" s="0" t="s">
        <v>21</v>
      </c>
      <c r="C200" s="1" t="n">
        <v>3</v>
      </c>
      <c r="D200" s="0" t="s">
        <v>18</v>
      </c>
    </row>
    <row r="201" customFormat="false" ht="15" hidden="false" customHeight="false" outlineLevel="0" collapsed="false">
      <c r="A201" s="4" t="n">
        <v>39257</v>
      </c>
      <c r="B201" s="0" t="s">
        <v>21</v>
      </c>
      <c r="C201" s="1" t="n">
        <v>4</v>
      </c>
      <c r="D201" s="0" t="s">
        <v>13</v>
      </c>
      <c r="E201" s="1" t="n">
        <v>6</v>
      </c>
      <c r="K201" s="2" t="n">
        <v>0</v>
      </c>
    </row>
    <row r="202" customFormat="false" ht="15" hidden="false" customHeight="false" outlineLevel="0" collapsed="false">
      <c r="A202" s="4" t="n">
        <v>39257</v>
      </c>
      <c r="B202" s="0" t="s">
        <v>21</v>
      </c>
      <c r="C202" s="1" t="n">
        <v>4</v>
      </c>
      <c r="D202" s="0" t="s">
        <v>14</v>
      </c>
      <c r="E202" s="1" t="n">
        <v>3</v>
      </c>
      <c r="F202" s="1" t="n">
        <v>1</v>
      </c>
    </row>
    <row r="203" customFormat="false" ht="15" hidden="false" customHeight="false" outlineLevel="0" collapsed="false">
      <c r="A203" s="4" t="n">
        <v>39257</v>
      </c>
      <c r="B203" s="0" t="s">
        <v>21</v>
      </c>
      <c r="C203" s="1" t="n">
        <v>4</v>
      </c>
      <c r="D203" s="0" t="s">
        <v>15</v>
      </c>
    </row>
    <row r="204" customFormat="false" ht="15" hidden="false" customHeight="false" outlineLevel="0" collapsed="false">
      <c r="A204" s="4" t="n">
        <v>39257</v>
      </c>
      <c r="B204" s="0" t="s">
        <v>21</v>
      </c>
      <c r="C204" s="1" t="n">
        <v>4</v>
      </c>
      <c r="D204" s="0" t="s">
        <v>16</v>
      </c>
    </row>
    <row r="205" customFormat="false" ht="15" hidden="false" customHeight="false" outlineLevel="0" collapsed="false">
      <c r="A205" s="4" t="n">
        <v>39257</v>
      </c>
      <c r="B205" s="0" t="s">
        <v>21</v>
      </c>
      <c r="C205" s="1" t="n">
        <v>4</v>
      </c>
      <c r="D205" s="0" t="s">
        <v>17</v>
      </c>
      <c r="E205" s="1" t="n">
        <v>2</v>
      </c>
      <c r="I205" s="1" t="n">
        <v>3</v>
      </c>
      <c r="J205" s="1" t="n">
        <v>2</v>
      </c>
    </row>
    <row r="206" customFormat="false" ht="15" hidden="false" customHeight="false" outlineLevel="0" collapsed="false">
      <c r="A206" s="4" t="n">
        <v>39257</v>
      </c>
      <c r="B206" s="0" t="s">
        <v>21</v>
      </c>
      <c r="C206" s="1" t="n">
        <v>4</v>
      </c>
      <c r="D206" s="0" t="s">
        <v>18</v>
      </c>
    </row>
    <row r="207" customFormat="false" ht="15" hidden="false" customHeight="false" outlineLevel="0" collapsed="false">
      <c r="A207" s="4" t="n">
        <v>39258</v>
      </c>
      <c r="B207" s="0" t="s">
        <v>21</v>
      </c>
      <c r="C207" s="1" t="n">
        <v>5</v>
      </c>
      <c r="D207" s="0" t="s">
        <v>13</v>
      </c>
      <c r="E207" s="1" t="n">
        <v>11</v>
      </c>
      <c r="F207" s="1" t="n">
        <v>1</v>
      </c>
      <c r="K207" s="2" t="n">
        <v>3</v>
      </c>
    </row>
    <row r="208" customFormat="false" ht="15" hidden="false" customHeight="false" outlineLevel="0" collapsed="false">
      <c r="A208" s="4" t="n">
        <v>39258</v>
      </c>
      <c r="B208" s="0" t="s">
        <v>21</v>
      </c>
      <c r="C208" s="1" t="n">
        <v>5</v>
      </c>
      <c r="D208" s="0" t="s">
        <v>14</v>
      </c>
      <c r="E208" s="1" t="n">
        <v>7</v>
      </c>
    </row>
    <row r="209" customFormat="false" ht="15" hidden="false" customHeight="false" outlineLevel="0" collapsed="false">
      <c r="A209" s="4" t="n">
        <v>39258</v>
      </c>
      <c r="B209" s="0" t="s">
        <v>21</v>
      </c>
      <c r="C209" s="1" t="n">
        <v>5</v>
      </c>
      <c r="D209" s="0" t="s">
        <v>15</v>
      </c>
    </row>
    <row r="210" customFormat="false" ht="15" hidden="false" customHeight="false" outlineLevel="0" collapsed="false">
      <c r="A210" s="4" t="n">
        <v>39258</v>
      </c>
      <c r="B210" s="0" t="s">
        <v>21</v>
      </c>
      <c r="C210" s="1" t="n">
        <v>5</v>
      </c>
      <c r="D210" s="0" t="s">
        <v>16</v>
      </c>
    </row>
    <row r="211" customFormat="false" ht="15" hidden="false" customHeight="false" outlineLevel="0" collapsed="false">
      <c r="A211" s="4" t="n">
        <v>39258</v>
      </c>
      <c r="B211" s="0" t="s">
        <v>21</v>
      </c>
      <c r="C211" s="1" t="n">
        <v>5</v>
      </c>
      <c r="D211" s="0" t="s">
        <v>17</v>
      </c>
      <c r="F211" s="1" t="n">
        <v>1</v>
      </c>
      <c r="G211" s="1" t="n">
        <v>1</v>
      </c>
      <c r="H211" s="1" t="n">
        <v>4</v>
      </c>
      <c r="I211" s="1" t="n">
        <v>2</v>
      </c>
      <c r="J211" s="1" t="n">
        <v>4</v>
      </c>
    </row>
    <row r="212" customFormat="false" ht="15" hidden="false" customHeight="false" outlineLevel="0" collapsed="false">
      <c r="A212" s="4" t="n">
        <v>39258</v>
      </c>
      <c r="B212" s="0" t="s">
        <v>21</v>
      </c>
      <c r="C212" s="1" t="n">
        <v>5</v>
      </c>
      <c r="D212" s="0" t="s">
        <v>18</v>
      </c>
    </row>
    <row r="213" customFormat="false" ht="15" hidden="false" customHeight="false" outlineLevel="0" collapsed="false">
      <c r="A213" s="4" t="n">
        <v>39258</v>
      </c>
      <c r="B213" s="0" t="s">
        <v>21</v>
      </c>
      <c r="C213" s="1" t="n">
        <v>6</v>
      </c>
      <c r="D213" s="0" t="s">
        <v>13</v>
      </c>
      <c r="E213" s="1" t="n">
        <v>10</v>
      </c>
      <c r="K213" s="2" t="n">
        <v>2</v>
      </c>
    </row>
    <row r="214" customFormat="false" ht="15" hidden="false" customHeight="false" outlineLevel="0" collapsed="false">
      <c r="A214" s="4" t="n">
        <v>39258</v>
      </c>
      <c r="B214" s="0" t="s">
        <v>21</v>
      </c>
      <c r="C214" s="1" t="n">
        <v>6</v>
      </c>
      <c r="D214" s="0" t="s">
        <v>14</v>
      </c>
      <c r="E214" s="1" t="n">
        <v>4</v>
      </c>
      <c r="F214" s="1" t="n">
        <v>1</v>
      </c>
    </row>
    <row r="215" customFormat="false" ht="15" hidden="false" customHeight="false" outlineLevel="0" collapsed="false">
      <c r="A215" s="4" t="n">
        <v>39258</v>
      </c>
      <c r="B215" s="0" t="s">
        <v>21</v>
      </c>
      <c r="C215" s="1" t="n">
        <v>6</v>
      </c>
      <c r="D215" s="0" t="s">
        <v>15</v>
      </c>
    </row>
    <row r="216" customFormat="false" ht="15" hidden="false" customHeight="false" outlineLevel="0" collapsed="false">
      <c r="A216" s="4" t="n">
        <v>39258</v>
      </c>
      <c r="B216" s="0" t="s">
        <v>21</v>
      </c>
      <c r="C216" s="1" t="n">
        <v>6</v>
      </c>
      <c r="D216" s="0" t="s">
        <v>16</v>
      </c>
      <c r="E216" s="1" t="n">
        <v>1</v>
      </c>
    </row>
    <row r="217" customFormat="false" ht="15" hidden="false" customHeight="false" outlineLevel="0" collapsed="false">
      <c r="A217" s="4" t="n">
        <v>39258</v>
      </c>
      <c r="B217" s="0" t="s">
        <v>21</v>
      </c>
      <c r="C217" s="1" t="n">
        <v>6</v>
      </c>
      <c r="D217" s="0" t="s">
        <v>17</v>
      </c>
    </row>
    <row r="218" customFormat="false" ht="15" hidden="false" customHeight="false" outlineLevel="0" collapsed="false">
      <c r="A218" s="4" t="n">
        <v>39258</v>
      </c>
      <c r="B218" s="0" t="s">
        <v>21</v>
      </c>
      <c r="C218" s="1" t="n">
        <v>6</v>
      </c>
      <c r="D218" s="0" t="s">
        <v>18</v>
      </c>
    </row>
    <row r="219" customFormat="false" ht="15" hidden="false" customHeight="false" outlineLevel="0" collapsed="false">
      <c r="A219" s="4" t="n">
        <v>39258</v>
      </c>
      <c r="B219" s="0" t="s">
        <v>21</v>
      </c>
      <c r="C219" s="1" t="n">
        <v>7</v>
      </c>
      <c r="D219" s="0" t="s">
        <v>13</v>
      </c>
      <c r="E219" s="1" t="n">
        <v>8</v>
      </c>
      <c r="F219" s="1" t="n">
        <v>5</v>
      </c>
      <c r="K219" s="2" t="n">
        <v>9</v>
      </c>
    </row>
    <row r="220" customFormat="false" ht="15" hidden="false" customHeight="false" outlineLevel="0" collapsed="false">
      <c r="A220" s="4" t="n">
        <v>39258</v>
      </c>
      <c r="B220" s="0" t="s">
        <v>21</v>
      </c>
      <c r="C220" s="1" t="n">
        <v>7</v>
      </c>
      <c r="D220" s="0" t="s">
        <v>14</v>
      </c>
      <c r="E220" s="1" t="n">
        <v>7</v>
      </c>
    </row>
    <row r="221" customFormat="false" ht="15" hidden="false" customHeight="false" outlineLevel="0" collapsed="false">
      <c r="A221" s="4" t="n">
        <v>39258</v>
      </c>
      <c r="B221" s="0" t="s">
        <v>21</v>
      </c>
      <c r="C221" s="1" t="n">
        <v>7</v>
      </c>
      <c r="D221" s="0" t="s">
        <v>15</v>
      </c>
      <c r="H221" s="1" t="n">
        <v>3</v>
      </c>
      <c r="I221" s="1" t="n">
        <v>4</v>
      </c>
    </row>
    <row r="222" customFormat="false" ht="15" hidden="false" customHeight="false" outlineLevel="0" collapsed="false">
      <c r="A222" s="4" t="n">
        <v>39258</v>
      </c>
      <c r="B222" s="0" t="s">
        <v>21</v>
      </c>
      <c r="C222" s="1" t="n">
        <v>7</v>
      </c>
      <c r="D222" s="0" t="s">
        <v>16</v>
      </c>
      <c r="E222" s="1" t="n">
        <v>1</v>
      </c>
      <c r="G222" s="1" t="n">
        <v>2</v>
      </c>
    </row>
    <row r="223" customFormat="false" ht="15" hidden="false" customHeight="false" outlineLevel="0" collapsed="false">
      <c r="A223" s="4" t="n">
        <v>39258</v>
      </c>
      <c r="B223" s="0" t="s">
        <v>21</v>
      </c>
      <c r="C223" s="1" t="n">
        <v>7</v>
      </c>
      <c r="D223" s="0" t="s">
        <v>17</v>
      </c>
    </row>
    <row r="224" customFormat="false" ht="15" hidden="false" customHeight="false" outlineLevel="0" collapsed="false">
      <c r="A224" s="4" t="n">
        <v>39258</v>
      </c>
      <c r="B224" s="0" t="s">
        <v>21</v>
      </c>
      <c r="C224" s="1" t="n">
        <v>7</v>
      </c>
      <c r="D224" s="0" t="s">
        <v>18</v>
      </c>
    </row>
    <row r="225" customFormat="false" ht="15" hidden="false" customHeight="false" outlineLevel="0" collapsed="false">
      <c r="A225" s="4" t="n">
        <v>39258</v>
      </c>
      <c r="B225" s="0" t="s">
        <v>21</v>
      </c>
      <c r="C225" s="1" t="n">
        <v>8</v>
      </c>
      <c r="D225" s="0" t="s">
        <v>13</v>
      </c>
      <c r="E225" s="1" t="n">
        <v>3</v>
      </c>
      <c r="K225" s="2" t="n">
        <v>14</v>
      </c>
    </row>
    <row r="226" customFormat="false" ht="15" hidden="false" customHeight="false" outlineLevel="0" collapsed="false">
      <c r="A226" s="4" t="n">
        <v>39258</v>
      </c>
      <c r="B226" s="0" t="s">
        <v>21</v>
      </c>
      <c r="C226" s="1" t="n">
        <v>8</v>
      </c>
      <c r="D226" s="0" t="s">
        <v>14</v>
      </c>
      <c r="E226" s="1" t="n">
        <v>3</v>
      </c>
      <c r="F226" s="1" t="n">
        <v>5</v>
      </c>
      <c r="G226" s="1" t="n">
        <v>2</v>
      </c>
    </row>
    <row r="227" customFormat="false" ht="15" hidden="false" customHeight="false" outlineLevel="0" collapsed="false">
      <c r="A227" s="4" t="n">
        <v>39258</v>
      </c>
      <c r="B227" s="0" t="s">
        <v>21</v>
      </c>
      <c r="C227" s="1" t="n">
        <v>8</v>
      </c>
      <c r="D227" s="0" t="s">
        <v>15</v>
      </c>
      <c r="F227" s="1" t="n">
        <v>1</v>
      </c>
    </row>
    <row r="228" customFormat="false" ht="15" hidden="false" customHeight="false" outlineLevel="0" collapsed="false">
      <c r="A228" s="4" t="n">
        <v>39258</v>
      </c>
      <c r="B228" s="0" t="s">
        <v>21</v>
      </c>
      <c r="C228" s="1" t="n">
        <v>8</v>
      </c>
      <c r="D228" s="0" t="s">
        <v>16</v>
      </c>
      <c r="E228" s="1" t="n">
        <v>1</v>
      </c>
      <c r="H228" s="1" t="n">
        <v>1</v>
      </c>
    </row>
    <row r="229" customFormat="false" ht="15" hidden="false" customHeight="false" outlineLevel="0" collapsed="false">
      <c r="A229" s="4" t="n">
        <v>39258</v>
      </c>
      <c r="B229" s="0" t="s">
        <v>21</v>
      </c>
      <c r="C229" s="1" t="n">
        <v>8</v>
      </c>
      <c r="D229" s="0" t="s">
        <v>17</v>
      </c>
      <c r="F229" s="1" t="n">
        <v>1</v>
      </c>
      <c r="I229" s="1" t="n">
        <v>1</v>
      </c>
      <c r="J229" s="1" t="n">
        <v>4</v>
      </c>
    </row>
    <row r="230" customFormat="false" ht="15" hidden="false" customHeight="false" outlineLevel="0" collapsed="false">
      <c r="A230" s="4" t="n">
        <v>39258</v>
      </c>
      <c r="B230" s="0" t="s">
        <v>21</v>
      </c>
      <c r="C230" s="1" t="n">
        <v>8</v>
      </c>
      <c r="D230" s="0" t="s">
        <v>18</v>
      </c>
    </row>
    <row r="231" customFormat="false" ht="15" hidden="false" customHeight="false" outlineLevel="0" collapsed="false">
      <c r="A231" s="4" t="n">
        <v>39258</v>
      </c>
      <c r="B231" s="0" t="s">
        <v>21</v>
      </c>
      <c r="C231" s="1" t="n">
        <v>9</v>
      </c>
      <c r="D231" s="0" t="s">
        <v>13</v>
      </c>
      <c r="E231" s="1" t="n">
        <v>11</v>
      </c>
      <c r="K231" s="2" t="n">
        <v>1</v>
      </c>
    </row>
    <row r="232" customFormat="false" ht="15" hidden="false" customHeight="false" outlineLevel="0" collapsed="false">
      <c r="A232" s="4" t="n">
        <v>39258</v>
      </c>
      <c r="B232" s="0" t="s">
        <v>21</v>
      </c>
      <c r="C232" s="1" t="n">
        <v>9</v>
      </c>
      <c r="D232" s="0" t="s">
        <v>14</v>
      </c>
      <c r="E232" s="1" t="n">
        <v>2</v>
      </c>
    </row>
    <row r="233" customFormat="false" ht="15" hidden="false" customHeight="false" outlineLevel="0" collapsed="false">
      <c r="A233" s="4" t="n">
        <v>39258</v>
      </c>
      <c r="B233" s="0" t="s">
        <v>21</v>
      </c>
      <c r="C233" s="1" t="n">
        <v>9</v>
      </c>
      <c r="D233" s="0" t="s">
        <v>15</v>
      </c>
    </row>
    <row r="234" customFormat="false" ht="15" hidden="false" customHeight="false" outlineLevel="0" collapsed="false">
      <c r="A234" s="4" t="n">
        <v>39258</v>
      </c>
      <c r="B234" s="0" t="s">
        <v>21</v>
      </c>
      <c r="C234" s="1" t="n">
        <v>9</v>
      </c>
      <c r="D234" s="0" t="s">
        <v>16</v>
      </c>
    </row>
    <row r="235" customFormat="false" ht="15" hidden="false" customHeight="false" outlineLevel="0" collapsed="false">
      <c r="A235" s="4" t="n">
        <v>39258</v>
      </c>
      <c r="B235" s="0" t="s">
        <v>21</v>
      </c>
      <c r="C235" s="1" t="n">
        <v>9</v>
      </c>
      <c r="D235" s="0" t="s">
        <v>17</v>
      </c>
      <c r="I235" s="1" t="n">
        <v>2</v>
      </c>
    </row>
    <row r="236" customFormat="false" ht="15" hidden="false" customHeight="false" outlineLevel="0" collapsed="false">
      <c r="A236" s="4" t="n">
        <v>39258</v>
      </c>
      <c r="B236" s="0" t="s">
        <v>21</v>
      </c>
      <c r="C236" s="1" t="n">
        <v>9</v>
      </c>
      <c r="D236" s="0" t="s">
        <v>18</v>
      </c>
      <c r="E236" s="1" t="n">
        <v>5</v>
      </c>
    </row>
    <row r="237" customFormat="false" ht="15" hidden="false" customHeight="false" outlineLevel="0" collapsed="false">
      <c r="A237" s="4" t="n">
        <v>39258</v>
      </c>
      <c r="B237" s="0" t="s">
        <v>21</v>
      </c>
      <c r="C237" s="1" t="n">
        <v>10</v>
      </c>
      <c r="D237" s="0" t="s">
        <v>13</v>
      </c>
      <c r="E237" s="1" t="n">
        <v>15</v>
      </c>
      <c r="K237" s="2" t="n">
        <v>0</v>
      </c>
    </row>
    <row r="238" customFormat="false" ht="15" hidden="false" customHeight="false" outlineLevel="0" collapsed="false">
      <c r="A238" s="4" t="n">
        <v>39258</v>
      </c>
      <c r="B238" s="0" t="s">
        <v>21</v>
      </c>
      <c r="C238" s="1" t="n">
        <v>10</v>
      </c>
      <c r="D238" s="0" t="s">
        <v>14</v>
      </c>
      <c r="E238" s="1" t="n">
        <v>1</v>
      </c>
      <c r="G238" s="1" t="n">
        <v>2</v>
      </c>
    </row>
    <row r="239" customFormat="false" ht="15" hidden="false" customHeight="false" outlineLevel="0" collapsed="false">
      <c r="A239" s="4" t="n">
        <v>39258</v>
      </c>
      <c r="B239" s="0" t="s">
        <v>21</v>
      </c>
      <c r="C239" s="1" t="n">
        <v>10</v>
      </c>
      <c r="D239" s="0" t="s">
        <v>15</v>
      </c>
    </row>
    <row r="240" customFormat="false" ht="15" hidden="false" customHeight="false" outlineLevel="0" collapsed="false">
      <c r="A240" s="4" t="n">
        <v>39258</v>
      </c>
      <c r="B240" s="0" t="s">
        <v>21</v>
      </c>
      <c r="C240" s="1" t="n">
        <v>10</v>
      </c>
      <c r="D240" s="0" t="s">
        <v>16</v>
      </c>
    </row>
    <row r="241" customFormat="false" ht="15" hidden="false" customHeight="false" outlineLevel="0" collapsed="false">
      <c r="A241" s="4" t="n">
        <v>39258</v>
      </c>
      <c r="B241" s="0" t="s">
        <v>21</v>
      </c>
      <c r="C241" s="1" t="n">
        <v>10</v>
      </c>
      <c r="D241" s="0" t="s">
        <v>17</v>
      </c>
    </row>
    <row r="242" customFormat="false" ht="15" hidden="false" customHeight="false" outlineLevel="0" collapsed="false">
      <c r="A242" s="4" t="n">
        <v>39258</v>
      </c>
      <c r="B242" s="0" t="s">
        <v>21</v>
      </c>
      <c r="C242" s="1" t="n">
        <v>10</v>
      </c>
      <c r="D242" s="0" t="s">
        <v>18</v>
      </c>
    </row>
    <row r="243" customFormat="false" ht="15" hidden="false" customHeight="false" outlineLevel="0" collapsed="false">
      <c r="A243" s="4" t="n">
        <v>39172</v>
      </c>
      <c r="B243" s="0" t="s">
        <v>22</v>
      </c>
      <c r="C243" s="1" t="n">
        <v>1</v>
      </c>
      <c r="D243" s="0" t="s">
        <v>13</v>
      </c>
      <c r="E243" s="1" t="n">
        <v>13</v>
      </c>
      <c r="K243" s="2" t="n">
        <v>0</v>
      </c>
    </row>
    <row r="244" customFormat="false" ht="15" hidden="false" customHeight="false" outlineLevel="0" collapsed="false">
      <c r="A244" s="4" t="n">
        <v>39172</v>
      </c>
      <c r="B244" s="0" t="s">
        <v>22</v>
      </c>
      <c r="C244" s="1" t="n">
        <v>1</v>
      </c>
      <c r="D244" s="0" t="s">
        <v>14</v>
      </c>
      <c r="E244" s="1" t="n">
        <v>2</v>
      </c>
      <c r="F244" s="1" t="n">
        <v>1</v>
      </c>
    </row>
    <row r="245" customFormat="false" ht="15" hidden="false" customHeight="false" outlineLevel="0" collapsed="false">
      <c r="A245" s="4" t="n">
        <v>39172</v>
      </c>
      <c r="B245" s="0" t="s">
        <v>22</v>
      </c>
      <c r="C245" s="1" t="n">
        <v>1</v>
      </c>
      <c r="D245" s="0" t="s">
        <v>15</v>
      </c>
      <c r="H245" s="1" t="n">
        <v>1</v>
      </c>
    </row>
    <row r="246" customFormat="false" ht="15" hidden="false" customHeight="false" outlineLevel="0" collapsed="false">
      <c r="A246" s="4" t="n">
        <v>39172</v>
      </c>
      <c r="B246" s="0" t="s">
        <v>22</v>
      </c>
      <c r="C246" s="1" t="n">
        <v>1</v>
      </c>
      <c r="D246" s="0" t="s">
        <v>16</v>
      </c>
      <c r="E246" s="1" t="n">
        <v>1</v>
      </c>
      <c r="F246" s="1" t="n">
        <v>1</v>
      </c>
    </row>
    <row r="247" customFormat="false" ht="15" hidden="false" customHeight="false" outlineLevel="0" collapsed="false">
      <c r="A247" s="4" t="n">
        <v>39172</v>
      </c>
      <c r="B247" s="0" t="s">
        <v>22</v>
      </c>
      <c r="C247" s="1" t="n">
        <v>1</v>
      </c>
      <c r="D247" s="0" t="s">
        <v>17</v>
      </c>
      <c r="E247" s="1" t="n">
        <v>2</v>
      </c>
      <c r="F247" s="1" t="n">
        <v>5</v>
      </c>
      <c r="G247" s="1" t="n">
        <v>3</v>
      </c>
    </row>
    <row r="248" customFormat="false" ht="15" hidden="false" customHeight="false" outlineLevel="0" collapsed="false">
      <c r="A248" s="4" t="n">
        <v>39172</v>
      </c>
      <c r="B248" s="0" t="s">
        <v>22</v>
      </c>
      <c r="C248" s="1" t="n">
        <v>1</v>
      </c>
      <c r="D248" s="0" t="s">
        <v>18</v>
      </c>
      <c r="E248" s="1" t="n">
        <v>4</v>
      </c>
    </row>
    <row r="249" customFormat="false" ht="15" hidden="false" customHeight="false" outlineLevel="0" collapsed="false">
      <c r="A249" s="4" t="n">
        <v>39172</v>
      </c>
      <c r="B249" s="0" t="s">
        <v>22</v>
      </c>
      <c r="C249" s="1" t="n">
        <v>2</v>
      </c>
      <c r="D249" s="0" t="s">
        <v>13</v>
      </c>
      <c r="E249" s="1" t="n">
        <v>5</v>
      </c>
      <c r="K249" s="2" t="n">
        <v>2</v>
      </c>
    </row>
    <row r="250" customFormat="false" ht="15" hidden="false" customHeight="false" outlineLevel="0" collapsed="false">
      <c r="A250" s="4" t="n">
        <v>39172</v>
      </c>
      <c r="B250" s="0" t="s">
        <v>22</v>
      </c>
      <c r="C250" s="1" t="n">
        <v>2</v>
      </c>
      <c r="D250" s="0" t="s">
        <v>14</v>
      </c>
      <c r="E250" s="1" t="n">
        <v>5</v>
      </c>
      <c r="F250" s="1" t="n">
        <v>1</v>
      </c>
    </row>
    <row r="251" customFormat="false" ht="15" hidden="false" customHeight="false" outlineLevel="0" collapsed="false">
      <c r="A251" s="4" t="n">
        <v>39172</v>
      </c>
      <c r="B251" s="0" t="s">
        <v>22</v>
      </c>
      <c r="C251" s="1" t="n">
        <v>2</v>
      </c>
      <c r="D251" s="0" t="s">
        <v>15</v>
      </c>
      <c r="F251" s="1" t="n">
        <v>1</v>
      </c>
      <c r="G251" s="1" t="n">
        <v>1</v>
      </c>
    </row>
    <row r="252" customFormat="false" ht="15" hidden="false" customHeight="false" outlineLevel="0" collapsed="false">
      <c r="A252" s="4" t="n">
        <v>39172</v>
      </c>
      <c r="B252" s="0" t="s">
        <v>22</v>
      </c>
      <c r="C252" s="1" t="n">
        <v>2</v>
      </c>
      <c r="D252" s="0" t="s">
        <v>16</v>
      </c>
      <c r="E252" s="1" t="n">
        <v>1</v>
      </c>
      <c r="F252" s="1" t="n">
        <v>3</v>
      </c>
      <c r="I252" s="1" t="n">
        <v>2</v>
      </c>
    </row>
    <row r="253" customFormat="false" ht="15" hidden="false" customHeight="false" outlineLevel="0" collapsed="false">
      <c r="A253" s="4" t="n">
        <v>39172</v>
      </c>
      <c r="B253" s="0" t="s">
        <v>22</v>
      </c>
      <c r="C253" s="1" t="n">
        <v>2</v>
      </c>
      <c r="D253" s="0" t="s">
        <v>17</v>
      </c>
      <c r="F253" s="1" t="n">
        <v>1</v>
      </c>
      <c r="G253" s="1" t="n">
        <v>4</v>
      </c>
      <c r="H253" s="1" t="n">
        <v>3</v>
      </c>
      <c r="I253" s="1" t="n">
        <v>2</v>
      </c>
    </row>
    <row r="254" customFormat="false" ht="15" hidden="false" customHeight="false" outlineLevel="0" collapsed="false">
      <c r="A254" s="4" t="n">
        <v>39172</v>
      </c>
      <c r="B254" s="0" t="s">
        <v>22</v>
      </c>
      <c r="C254" s="1" t="n">
        <v>2</v>
      </c>
      <c r="D254" s="0" t="s">
        <v>18</v>
      </c>
    </row>
    <row r="255" customFormat="false" ht="15" hidden="false" customHeight="false" outlineLevel="0" collapsed="false">
      <c r="A255" s="4" t="n">
        <v>39173</v>
      </c>
      <c r="B255" s="0" t="s">
        <v>22</v>
      </c>
      <c r="C255" s="1" t="n">
        <v>3</v>
      </c>
      <c r="D255" s="0" t="s">
        <v>13</v>
      </c>
      <c r="E255" s="1" t="n">
        <v>11</v>
      </c>
      <c r="F255" s="1" t="n">
        <v>1</v>
      </c>
      <c r="K255" s="2" t="n">
        <v>0</v>
      </c>
    </row>
    <row r="256" customFormat="false" ht="15" hidden="false" customHeight="false" outlineLevel="0" collapsed="false">
      <c r="A256" s="4" t="n">
        <v>39173</v>
      </c>
      <c r="B256" s="0" t="s">
        <v>22</v>
      </c>
      <c r="C256" s="1" t="n">
        <v>3</v>
      </c>
      <c r="D256" s="0" t="s">
        <v>14</v>
      </c>
      <c r="E256" s="1" t="n">
        <v>9</v>
      </c>
      <c r="F256" s="1" t="n">
        <v>2</v>
      </c>
    </row>
    <row r="257" customFormat="false" ht="15" hidden="false" customHeight="false" outlineLevel="0" collapsed="false">
      <c r="A257" s="4" t="n">
        <v>39173</v>
      </c>
      <c r="B257" s="0" t="s">
        <v>22</v>
      </c>
      <c r="C257" s="1" t="n">
        <v>3</v>
      </c>
      <c r="D257" s="0" t="s">
        <v>15</v>
      </c>
    </row>
    <row r="258" customFormat="false" ht="15" hidden="false" customHeight="false" outlineLevel="0" collapsed="false">
      <c r="A258" s="4" t="n">
        <v>39173</v>
      </c>
      <c r="B258" s="0" t="s">
        <v>22</v>
      </c>
      <c r="C258" s="1" t="n">
        <v>3</v>
      </c>
      <c r="D258" s="0" t="s">
        <v>16</v>
      </c>
      <c r="F258" s="1" t="n">
        <v>1</v>
      </c>
      <c r="I258" s="1" t="n">
        <v>3</v>
      </c>
      <c r="J258" s="1" t="n">
        <v>1</v>
      </c>
    </row>
    <row r="259" customFormat="false" ht="15" hidden="false" customHeight="false" outlineLevel="0" collapsed="false">
      <c r="A259" s="4" t="n">
        <v>39173</v>
      </c>
      <c r="B259" s="0" t="s">
        <v>22</v>
      </c>
      <c r="C259" s="1" t="n">
        <v>3</v>
      </c>
      <c r="D259" s="0" t="s">
        <v>17</v>
      </c>
      <c r="E259" s="1" t="n">
        <v>2</v>
      </c>
      <c r="F259" s="1" t="n">
        <v>2</v>
      </c>
      <c r="G259" s="1" t="n">
        <v>3</v>
      </c>
      <c r="H259" s="1" t="n">
        <v>4</v>
      </c>
      <c r="J259" s="1" t="n">
        <v>5</v>
      </c>
    </row>
    <row r="260" customFormat="false" ht="15" hidden="false" customHeight="false" outlineLevel="0" collapsed="false">
      <c r="A260" s="4" t="n">
        <v>39173</v>
      </c>
      <c r="B260" s="0" t="s">
        <v>22</v>
      </c>
      <c r="C260" s="1" t="n">
        <v>3</v>
      </c>
      <c r="D260" s="0" t="s">
        <v>18</v>
      </c>
    </row>
    <row r="261" customFormat="false" ht="15" hidden="false" customHeight="false" outlineLevel="0" collapsed="false">
      <c r="A261" s="4" t="n">
        <v>39173</v>
      </c>
      <c r="B261" s="0" t="s">
        <v>22</v>
      </c>
      <c r="C261" s="1" t="n">
        <v>4</v>
      </c>
      <c r="D261" s="0" t="s">
        <v>13</v>
      </c>
      <c r="E261" s="1" t="n">
        <v>10</v>
      </c>
      <c r="F261" s="1" t="n">
        <v>3</v>
      </c>
      <c r="K261" s="2" t="n">
        <v>0</v>
      </c>
    </row>
    <row r="262" customFormat="false" ht="15" hidden="false" customHeight="false" outlineLevel="0" collapsed="false">
      <c r="A262" s="4" t="n">
        <v>39173</v>
      </c>
      <c r="B262" s="0" t="s">
        <v>22</v>
      </c>
      <c r="C262" s="1" t="n">
        <v>4</v>
      </c>
      <c r="D262" s="0" t="s">
        <v>14</v>
      </c>
      <c r="E262" s="1" t="n">
        <v>4</v>
      </c>
      <c r="F262" s="1" t="n">
        <v>2</v>
      </c>
    </row>
    <row r="263" customFormat="false" ht="15" hidden="false" customHeight="false" outlineLevel="0" collapsed="false">
      <c r="A263" s="4" t="n">
        <v>39173</v>
      </c>
      <c r="B263" s="0" t="s">
        <v>22</v>
      </c>
      <c r="C263" s="1" t="n">
        <v>4</v>
      </c>
      <c r="D263" s="0" t="s">
        <v>15</v>
      </c>
      <c r="F263" s="1" t="n">
        <v>3</v>
      </c>
      <c r="G263" s="1" t="n">
        <v>1</v>
      </c>
    </row>
    <row r="264" customFormat="false" ht="15" hidden="false" customHeight="false" outlineLevel="0" collapsed="false">
      <c r="A264" s="4" t="n">
        <v>39173</v>
      </c>
      <c r="B264" s="0" t="s">
        <v>22</v>
      </c>
      <c r="C264" s="1" t="n">
        <v>4</v>
      </c>
      <c r="D264" s="0" t="s">
        <v>16</v>
      </c>
      <c r="F264" s="1" t="n">
        <v>1</v>
      </c>
    </row>
    <row r="265" customFormat="false" ht="15" hidden="false" customHeight="false" outlineLevel="0" collapsed="false">
      <c r="A265" s="4" t="n">
        <v>39173</v>
      </c>
      <c r="B265" s="0" t="s">
        <v>22</v>
      </c>
      <c r="C265" s="1" t="n">
        <v>4</v>
      </c>
      <c r="D265" s="0" t="s">
        <v>17</v>
      </c>
      <c r="F265" s="1" t="n">
        <v>2</v>
      </c>
      <c r="G265" s="1" t="n">
        <v>1</v>
      </c>
      <c r="I265" s="1" t="n">
        <v>1</v>
      </c>
    </row>
    <row r="266" customFormat="false" ht="15" hidden="false" customHeight="false" outlineLevel="0" collapsed="false">
      <c r="A266" s="4" t="n">
        <v>39173</v>
      </c>
      <c r="B266" s="0" t="s">
        <v>22</v>
      </c>
      <c r="C266" s="1" t="n">
        <v>4</v>
      </c>
      <c r="D266" s="0" t="s">
        <v>18</v>
      </c>
      <c r="E266" s="1" t="n">
        <v>3</v>
      </c>
    </row>
    <row r="267" customFormat="false" ht="15" hidden="false" customHeight="false" outlineLevel="0" collapsed="false">
      <c r="A267" s="4" t="n">
        <v>39173</v>
      </c>
      <c r="B267" s="0" t="s">
        <v>22</v>
      </c>
      <c r="C267" s="1" t="n">
        <v>5</v>
      </c>
      <c r="D267" s="0" t="s">
        <v>13</v>
      </c>
      <c r="E267" s="1" t="n">
        <v>16</v>
      </c>
      <c r="K267" s="2" t="n">
        <v>0</v>
      </c>
    </row>
    <row r="268" customFormat="false" ht="15" hidden="false" customHeight="false" outlineLevel="0" collapsed="false">
      <c r="A268" s="4" t="n">
        <v>39173</v>
      </c>
      <c r="B268" s="0" t="s">
        <v>22</v>
      </c>
      <c r="C268" s="1" t="n">
        <v>5</v>
      </c>
      <c r="D268" s="0" t="s">
        <v>14</v>
      </c>
      <c r="E268" s="1" t="n">
        <v>8</v>
      </c>
      <c r="F268" s="1" t="n">
        <v>1</v>
      </c>
    </row>
    <row r="269" customFormat="false" ht="15" hidden="false" customHeight="false" outlineLevel="0" collapsed="false">
      <c r="A269" s="4" t="n">
        <v>39173</v>
      </c>
      <c r="B269" s="0" t="s">
        <v>22</v>
      </c>
      <c r="C269" s="1" t="n">
        <v>5</v>
      </c>
      <c r="D269" s="0" t="s">
        <v>15</v>
      </c>
      <c r="H269" s="1" t="n">
        <v>1</v>
      </c>
    </row>
    <row r="270" customFormat="false" ht="15" hidden="false" customHeight="false" outlineLevel="0" collapsed="false">
      <c r="A270" s="4" t="n">
        <v>39173</v>
      </c>
      <c r="B270" s="0" t="s">
        <v>22</v>
      </c>
      <c r="C270" s="1" t="n">
        <v>5</v>
      </c>
      <c r="D270" s="0" t="s">
        <v>16</v>
      </c>
    </row>
    <row r="271" customFormat="false" ht="15" hidden="false" customHeight="false" outlineLevel="0" collapsed="false">
      <c r="A271" s="4" t="n">
        <v>39173</v>
      </c>
      <c r="B271" s="0" t="s">
        <v>22</v>
      </c>
      <c r="C271" s="1" t="n">
        <v>5</v>
      </c>
      <c r="D271" s="0" t="s">
        <v>17</v>
      </c>
      <c r="E271" s="1" t="n">
        <v>1</v>
      </c>
      <c r="H271" s="1" t="n">
        <v>3</v>
      </c>
      <c r="I271" s="1" t="n">
        <v>2</v>
      </c>
    </row>
    <row r="272" customFormat="false" ht="15" hidden="false" customHeight="false" outlineLevel="0" collapsed="false">
      <c r="A272" s="4" t="n">
        <v>39173</v>
      </c>
      <c r="B272" s="0" t="s">
        <v>22</v>
      </c>
      <c r="C272" s="1" t="n">
        <v>5</v>
      </c>
      <c r="D272" s="0" t="s">
        <v>18</v>
      </c>
    </row>
    <row r="273" customFormat="false" ht="15" hidden="false" customHeight="false" outlineLevel="0" collapsed="false">
      <c r="A273" s="4" t="n">
        <v>39174</v>
      </c>
      <c r="B273" s="0" t="s">
        <v>22</v>
      </c>
      <c r="C273" s="1" t="n">
        <v>6</v>
      </c>
      <c r="D273" s="0" t="s">
        <v>13</v>
      </c>
      <c r="E273" s="1" t="n">
        <v>1</v>
      </c>
      <c r="K273" s="2" t="n">
        <v>0</v>
      </c>
    </row>
    <row r="274" customFormat="false" ht="15" hidden="false" customHeight="false" outlineLevel="0" collapsed="false">
      <c r="A274" s="4" t="n">
        <v>39174</v>
      </c>
      <c r="B274" s="0" t="s">
        <v>22</v>
      </c>
      <c r="C274" s="1" t="n">
        <v>6</v>
      </c>
      <c r="D274" s="0" t="s">
        <v>14</v>
      </c>
      <c r="E274" s="1" t="n">
        <v>3</v>
      </c>
      <c r="F274" s="1" t="n">
        <v>3</v>
      </c>
    </row>
    <row r="275" customFormat="false" ht="15" hidden="false" customHeight="false" outlineLevel="0" collapsed="false">
      <c r="A275" s="4" t="n">
        <v>39174</v>
      </c>
      <c r="B275" s="0" t="s">
        <v>22</v>
      </c>
      <c r="C275" s="1" t="n">
        <v>6</v>
      </c>
      <c r="D275" s="0" t="s">
        <v>15</v>
      </c>
    </row>
    <row r="276" customFormat="false" ht="15" hidden="false" customHeight="false" outlineLevel="0" collapsed="false">
      <c r="A276" s="4" t="n">
        <v>39174</v>
      </c>
      <c r="B276" s="0" t="s">
        <v>22</v>
      </c>
      <c r="C276" s="1" t="n">
        <v>6</v>
      </c>
      <c r="D276" s="0" t="s">
        <v>16</v>
      </c>
      <c r="E276" s="1" t="n">
        <v>2</v>
      </c>
      <c r="F276" s="1" t="n">
        <v>2</v>
      </c>
      <c r="G276" s="1" t="n">
        <v>9</v>
      </c>
      <c r="H276" s="1" t="n">
        <v>6</v>
      </c>
      <c r="J276" s="1" t="n">
        <v>4</v>
      </c>
    </row>
    <row r="277" customFormat="false" ht="15" hidden="false" customHeight="false" outlineLevel="0" collapsed="false">
      <c r="A277" s="4" t="n">
        <v>39174</v>
      </c>
      <c r="B277" s="0" t="s">
        <v>22</v>
      </c>
      <c r="C277" s="1" t="n">
        <v>6</v>
      </c>
      <c r="D277" s="0" t="s">
        <v>17</v>
      </c>
      <c r="G277" s="1" t="n">
        <v>2</v>
      </c>
      <c r="H277" s="1" t="n">
        <v>2</v>
      </c>
      <c r="J277" s="1" t="n">
        <v>5</v>
      </c>
    </row>
    <row r="278" customFormat="false" ht="15" hidden="false" customHeight="false" outlineLevel="0" collapsed="false">
      <c r="A278" s="4" t="n">
        <v>39174</v>
      </c>
      <c r="B278" s="0" t="s">
        <v>22</v>
      </c>
      <c r="C278" s="1" t="n">
        <v>6</v>
      </c>
      <c r="D278" s="0" t="s">
        <v>18</v>
      </c>
    </row>
    <row r="279" customFormat="false" ht="15" hidden="false" customHeight="false" outlineLevel="0" collapsed="false">
      <c r="A279" s="4" t="n">
        <v>39174</v>
      </c>
      <c r="B279" s="0" t="s">
        <v>22</v>
      </c>
      <c r="C279" s="1" t="n">
        <v>7</v>
      </c>
      <c r="D279" s="0" t="s">
        <v>13</v>
      </c>
      <c r="E279" s="1" t="n">
        <v>15</v>
      </c>
      <c r="F279" s="1" t="n">
        <v>2</v>
      </c>
      <c r="G279" s="1" t="n">
        <v>3</v>
      </c>
      <c r="K279" s="2" t="n">
        <v>2</v>
      </c>
    </row>
    <row r="280" customFormat="false" ht="15" hidden="false" customHeight="false" outlineLevel="0" collapsed="false">
      <c r="A280" s="4" t="n">
        <v>39174</v>
      </c>
      <c r="B280" s="0" t="s">
        <v>22</v>
      </c>
      <c r="C280" s="1" t="n">
        <v>7</v>
      </c>
      <c r="D280" s="0" t="s">
        <v>14</v>
      </c>
      <c r="E280" s="1" t="n">
        <v>12</v>
      </c>
    </row>
    <row r="281" customFormat="false" ht="15" hidden="false" customHeight="false" outlineLevel="0" collapsed="false">
      <c r="A281" s="4" t="n">
        <v>39174</v>
      </c>
      <c r="B281" s="0" t="s">
        <v>22</v>
      </c>
      <c r="C281" s="1" t="n">
        <v>7</v>
      </c>
      <c r="D281" s="0" t="s">
        <v>15</v>
      </c>
    </row>
    <row r="282" customFormat="false" ht="15" hidden="false" customHeight="false" outlineLevel="0" collapsed="false">
      <c r="A282" s="4" t="n">
        <v>39174</v>
      </c>
      <c r="B282" s="0" t="s">
        <v>22</v>
      </c>
      <c r="C282" s="1" t="n">
        <v>7</v>
      </c>
      <c r="D282" s="0" t="s">
        <v>16</v>
      </c>
    </row>
    <row r="283" customFormat="false" ht="15" hidden="false" customHeight="false" outlineLevel="0" collapsed="false">
      <c r="A283" s="4" t="n">
        <v>39174</v>
      </c>
      <c r="B283" s="0" t="s">
        <v>22</v>
      </c>
      <c r="C283" s="1" t="n">
        <v>7</v>
      </c>
      <c r="D283" s="0" t="s">
        <v>17</v>
      </c>
      <c r="G283" s="1" t="n">
        <v>3</v>
      </c>
      <c r="H283" s="1" t="n">
        <v>3</v>
      </c>
      <c r="I283" s="1" t="n">
        <v>8</v>
      </c>
    </row>
    <row r="284" customFormat="false" ht="15" hidden="false" customHeight="false" outlineLevel="0" collapsed="false">
      <c r="A284" s="4" t="n">
        <v>39174</v>
      </c>
      <c r="B284" s="0" t="s">
        <v>22</v>
      </c>
      <c r="C284" s="1" t="n">
        <v>7</v>
      </c>
      <c r="D284" s="0" t="s">
        <v>18</v>
      </c>
    </row>
    <row r="285" customFormat="false" ht="15" hidden="false" customHeight="false" outlineLevel="0" collapsed="false">
      <c r="A285" s="4" t="n">
        <v>39173</v>
      </c>
      <c r="B285" s="0" t="s">
        <v>22</v>
      </c>
      <c r="C285" s="1" t="n">
        <v>8</v>
      </c>
      <c r="D285" s="0" t="s">
        <v>13</v>
      </c>
      <c r="E285" s="1" t="n">
        <v>11</v>
      </c>
      <c r="K285" s="2" t="n">
        <v>1</v>
      </c>
    </row>
    <row r="286" customFormat="false" ht="15" hidden="false" customHeight="false" outlineLevel="0" collapsed="false">
      <c r="A286" s="4" t="n">
        <v>39173</v>
      </c>
      <c r="B286" s="0" t="s">
        <v>22</v>
      </c>
      <c r="C286" s="1" t="n">
        <v>8</v>
      </c>
      <c r="D286" s="0" t="s">
        <v>14</v>
      </c>
      <c r="E286" s="1" t="n">
        <v>6</v>
      </c>
      <c r="F286" s="1" t="n">
        <v>1</v>
      </c>
    </row>
    <row r="287" customFormat="false" ht="15" hidden="false" customHeight="false" outlineLevel="0" collapsed="false">
      <c r="A287" s="4" t="n">
        <v>39173</v>
      </c>
      <c r="B287" s="0" t="s">
        <v>22</v>
      </c>
      <c r="C287" s="1" t="n">
        <v>8</v>
      </c>
      <c r="D287" s="0" t="s">
        <v>15</v>
      </c>
    </row>
    <row r="288" customFormat="false" ht="15" hidden="false" customHeight="false" outlineLevel="0" collapsed="false">
      <c r="A288" s="4" t="n">
        <v>39173</v>
      </c>
      <c r="B288" s="0" t="s">
        <v>22</v>
      </c>
      <c r="C288" s="1" t="n">
        <v>8</v>
      </c>
      <c r="D288" s="0" t="s">
        <v>16</v>
      </c>
      <c r="I288" s="1" t="n">
        <v>2</v>
      </c>
    </row>
    <row r="289" customFormat="false" ht="15" hidden="false" customHeight="false" outlineLevel="0" collapsed="false">
      <c r="A289" s="4" t="n">
        <v>39173</v>
      </c>
      <c r="B289" s="0" t="s">
        <v>22</v>
      </c>
      <c r="C289" s="1" t="n">
        <v>8</v>
      </c>
      <c r="D289" s="0" t="s">
        <v>17</v>
      </c>
      <c r="E289" s="1" t="n">
        <v>1</v>
      </c>
      <c r="I289" s="1" t="n">
        <v>1</v>
      </c>
      <c r="J289" s="1" t="n">
        <v>3</v>
      </c>
    </row>
    <row r="290" customFormat="false" ht="15" hidden="false" customHeight="false" outlineLevel="0" collapsed="false">
      <c r="A290" s="4" t="n">
        <v>39173</v>
      </c>
      <c r="B290" s="0" t="s">
        <v>22</v>
      </c>
      <c r="C290" s="1" t="n">
        <v>8</v>
      </c>
      <c r="D290" s="0" t="s">
        <v>18</v>
      </c>
    </row>
    <row r="291" customFormat="false" ht="15" hidden="false" customHeight="false" outlineLevel="0" collapsed="false">
      <c r="A291" s="4" t="n">
        <v>39173</v>
      </c>
      <c r="B291" s="0" t="s">
        <v>22</v>
      </c>
      <c r="C291" s="1" t="n">
        <v>9</v>
      </c>
      <c r="D291" s="0" t="s">
        <v>13</v>
      </c>
      <c r="E291" s="1" t="n">
        <v>10</v>
      </c>
      <c r="K291" s="2" t="n">
        <v>0</v>
      </c>
    </row>
    <row r="292" customFormat="false" ht="15" hidden="false" customHeight="false" outlineLevel="0" collapsed="false">
      <c r="A292" s="4" t="n">
        <v>39173</v>
      </c>
      <c r="B292" s="0" t="s">
        <v>22</v>
      </c>
      <c r="C292" s="1" t="n">
        <v>9</v>
      </c>
      <c r="D292" s="0" t="s">
        <v>14</v>
      </c>
      <c r="E292" s="1" t="n">
        <v>19</v>
      </c>
      <c r="F292" s="1" t="n">
        <v>4</v>
      </c>
    </row>
    <row r="293" customFormat="false" ht="15" hidden="false" customHeight="false" outlineLevel="0" collapsed="false">
      <c r="A293" s="4" t="n">
        <v>39173</v>
      </c>
      <c r="B293" s="0" t="s">
        <v>22</v>
      </c>
      <c r="C293" s="1" t="n">
        <v>9</v>
      </c>
      <c r="D293" s="0" t="s">
        <v>15</v>
      </c>
    </row>
    <row r="294" customFormat="false" ht="15" hidden="false" customHeight="false" outlineLevel="0" collapsed="false">
      <c r="A294" s="4" t="n">
        <v>39173</v>
      </c>
      <c r="B294" s="0" t="s">
        <v>22</v>
      </c>
      <c r="C294" s="1" t="n">
        <v>9</v>
      </c>
      <c r="D294" s="0" t="s">
        <v>16</v>
      </c>
      <c r="F294" s="1" t="n">
        <v>1</v>
      </c>
    </row>
    <row r="295" customFormat="false" ht="15" hidden="false" customHeight="false" outlineLevel="0" collapsed="false">
      <c r="A295" s="4" t="n">
        <v>39173</v>
      </c>
      <c r="B295" s="0" t="s">
        <v>22</v>
      </c>
      <c r="C295" s="1" t="n">
        <v>9</v>
      </c>
      <c r="D295" s="0" t="s">
        <v>17</v>
      </c>
      <c r="F295" s="1" t="n">
        <v>3</v>
      </c>
      <c r="G295" s="1" t="n">
        <v>6</v>
      </c>
      <c r="H295" s="1" t="n">
        <v>4</v>
      </c>
      <c r="I295" s="1" t="n">
        <v>4</v>
      </c>
      <c r="J295" s="1" t="n">
        <v>1</v>
      </c>
    </row>
    <row r="296" customFormat="false" ht="15" hidden="false" customHeight="false" outlineLevel="0" collapsed="false">
      <c r="A296" s="4" t="n">
        <v>39173</v>
      </c>
      <c r="B296" s="0" t="s">
        <v>22</v>
      </c>
      <c r="C296" s="1" t="n">
        <v>9</v>
      </c>
      <c r="D296" s="0" t="s">
        <v>18</v>
      </c>
    </row>
    <row r="297" customFormat="false" ht="15" hidden="false" customHeight="false" outlineLevel="0" collapsed="false">
      <c r="A297" s="4" t="n">
        <v>39176</v>
      </c>
      <c r="B297" s="0" t="s">
        <v>22</v>
      </c>
      <c r="C297" s="1" t="n">
        <v>10</v>
      </c>
      <c r="D297" s="0" t="s">
        <v>13</v>
      </c>
      <c r="E297" s="1" t="n">
        <v>6</v>
      </c>
      <c r="K297" s="2" t="n">
        <v>0</v>
      </c>
    </row>
    <row r="298" customFormat="false" ht="15" hidden="false" customHeight="false" outlineLevel="0" collapsed="false">
      <c r="A298" s="4" t="n">
        <v>39176</v>
      </c>
      <c r="B298" s="0" t="s">
        <v>22</v>
      </c>
      <c r="C298" s="1" t="n">
        <v>10</v>
      </c>
      <c r="D298" s="0" t="s">
        <v>14</v>
      </c>
      <c r="E298" s="1" t="n">
        <v>14</v>
      </c>
      <c r="F298" s="1" t="n">
        <v>7</v>
      </c>
    </row>
    <row r="299" customFormat="false" ht="15" hidden="false" customHeight="false" outlineLevel="0" collapsed="false">
      <c r="A299" s="4" t="n">
        <v>39176</v>
      </c>
      <c r="B299" s="0" t="s">
        <v>22</v>
      </c>
      <c r="C299" s="1" t="n">
        <v>10</v>
      </c>
      <c r="D299" s="0" t="s">
        <v>15</v>
      </c>
    </row>
    <row r="300" customFormat="false" ht="15" hidden="false" customHeight="false" outlineLevel="0" collapsed="false">
      <c r="A300" s="4" t="n">
        <v>39176</v>
      </c>
      <c r="B300" s="0" t="s">
        <v>22</v>
      </c>
      <c r="C300" s="1" t="n">
        <v>10</v>
      </c>
      <c r="D300" s="0" t="s">
        <v>16</v>
      </c>
    </row>
    <row r="301" customFormat="false" ht="15" hidden="false" customHeight="false" outlineLevel="0" collapsed="false">
      <c r="A301" s="4" t="n">
        <v>39176</v>
      </c>
      <c r="B301" s="0" t="s">
        <v>22</v>
      </c>
      <c r="C301" s="1" t="n">
        <v>10</v>
      </c>
      <c r="D301" s="0" t="s">
        <v>17</v>
      </c>
      <c r="F301" s="1" t="n">
        <v>2</v>
      </c>
      <c r="G301" s="1" t="n">
        <v>2</v>
      </c>
      <c r="H301" s="1" t="n">
        <v>1</v>
      </c>
      <c r="I301" s="1" t="n">
        <v>2</v>
      </c>
      <c r="J301" s="1" t="n">
        <v>10</v>
      </c>
    </row>
    <row r="302" customFormat="false" ht="15" hidden="false" customHeight="false" outlineLevel="0" collapsed="false">
      <c r="A302" s="4" t="n">
        <v>39176</v>
      </c>
      <c r="B302" s="0" t="s">
        <v>22</v>
      </c>
      <c r="C302" s="1" t="n">
        <v>10</v>
      </c>
      <c r="D302" s="0" t="s">
        <v>18</v>
      </c>
    </row>
    <row r="303" customFormat="false" ht="15" hidden="false" customHeight="false" outlineLevel="0" collapsed="false">
      <c r="A303" s="4" t="n">
        <v>39114</v>
      </c>
      <c r="B303" s="0" t="s">
        <v>23</v>
      </c>
      <c r="C303" s="1" t="n">
        <v>1</v>
      </c>
      <c r="D303" s="0" t="s">
        <v>13</v>
      </c>
      <c r="E303" s="1" t="n">
        <v>6</v>
      </c>
      <c r="F303" s="1" t="n">
        <v>3</v>
      </c>
      <c r="K303" s="2" t="n">
        <v>0</v>
      </c>
    </row>
    <row r="304" customFormat="false" ht="15" hidden="false" customHeight="false" outlineLevel="0" collapsed="false">
      <c r="A304" s="4" t="n">
        <v>39114</v>
      </c>
      <c r="B304" s="0" t="s">
        <v>23</v>
      </c>
      <c r="C304" s="1" t="n">
        <v>1</v>
      </c>
      <c r="D304" s="0" t="s">
        <v>14</v>
      </c>
      <c r="E304" s="1" t="n">
        <v>16</v>
      </c>
      <c r="F304" s="1" t="n">
        <v>6</v>
      </c>
    </row>
    <row r="305" customFormat="false" ht="15" hidden="false" customHeight="false" outlineLevel="0" collapsed="false">
      <c r="A305" s="4" t="n">
        <v>39114</v>
      </c>
      <c r="B305" s="0" t="s">
        <v>23</v>
      </c>
      <c r="C305" s="1" t="n">
        <v>1</v>
      </c>
      <c r="D305" s="0" t="s">
        <v>15</v>
      </c>
      <c r="G305" s="1" t="n">
        <v>1</v>
      </c>
      <c r="H305" s="1" t="n">
        <v>1</v>
      </c>
      <c r="J305" s="1" t="n">
        <v>1</v>
      </c>
    </row>
    <row r="306" customFormat="false" ht="15" hidden="false" customHeight="false" outlineLevel="0" collapsed="false">
      <c r="A306" s="4" t="n">
        <v>39114</v>
      </c>
      <c r="B306" s="0" t="s">
        <v>23</v>
      </c>
      <c r="C306" s="1" t="n">
        <v>1</v>
      </c>
      <c r="D306" s="0" t="s">
        <v>16</v>
      </c>
      <c r="G306" s="1" t="n">
        <v>1</v>
      </c>
      <c r="H306" s="1" t="n">
        <v>1</v>
      </c>
      <c r="J306" s="1" t="n">
        <v>6</v>
      </c>
    </row>
    <row r="307" customFormat="false" ht="15" hidden="false" customHeight="false" outlineLevel="0" collapsed="false">
      <c r="A307" s="4" t="n">
        <v>39114</v>
      </c>
      <c r="B307" s="0" t="s">
        <v>23</v>
      </c>
      <c r="C307" s="1" t="n">
        <v>1</v>
      </c>
      <c r="D307" s="0" t="s">
        <v>17</v>
      </c>
      <c r="F307" s="1" t="n">
        <v>4</v>
      </c>
      <c r="G307" s="1" t="n">
        <v>2</v>
      </c>
      <c r="H307" s="1" t="n">
        <v>4</v>
      </c>
      <c r="I307" s="1" t="n">
        <v>4</v>
      </c>
    </row>
    <row r="308" customFormat="false" ht="15" hidden="false" customHeight="false" outlineLevel="0" collapsed="false">
      <c r="A308" s="4" t="n">
        <v>39114</v>
      </c>
      <c r="B308" s="0" t="s">
        <v>23</v>
      </c>
      <c r="C308" s="1" t="n">
        <v>1</v>
      </c>
      <c r="D308" s="0" t="s">
        <v>18</v>
      </c>
    </row>
    <row r="309" customFormat="false" ht="15" hidden="false" customHeight="false" outlineLevel="0" collapsed="false">
      <c r="A309" s="4" t="n">
        <v>39114</v>
      </c>
      <c r="B309" s="0" t="s">
        <v>23</v>
      </c>
      <c r="C309" s="1" t="n">
        <v>2</v>
      </c>
      <c r="D309" s="0" t="s">
        <v>13</v>
      </c>
      <c r="E309" s="1" t="n">
        <v>23</v>
      </c>
      <c r="F309" s="1" t="n">
        <v>3</v>
      </c>
      <c r="H309" s="1" t="n">
        <v>1</v>
      </c>
      <c r="K309" s="2" t="n">
        <v>1</v>
      </c>
    </row>
    <row r="310" customFormat="false" ht="15" hidden="false" customHeight="false" outlineLevel="0" collapsed="false">
      <c r="A310" s="4" t="n">
        <v>39114</v>
      </c>
      <c r="B310" s="0" t="s">
        <v>23</v>
      </c>
      <c r="C310" s="1" t="n">
        <v>2</v>
      </c>
      <c r="D310" s="0" t="s">
        <v>14</v>
      </c>
      <c r="E310" s="1" t="n">
        <v>12</v>
      </c>
      <c r="F310" s="1" t="n">
        <v>6</v>
      </c>
    </row>
    <row r="311" customFormat="false" ht="15" hidden="false" customHeight="false" outlineLevel="0" collapsed="false">
      <c r="A311" s="4" t="n">
        <v>39114</v>
      </c>
      <c r="B311" s="0" t="s">
        <v>23</v>
      </c>
      <c r="C311" s="1" t="n">
        <v>2</v>
      </c>
      <c r="D311" s="0" t="s">
        <v>15</v>
      </c>
      <c r="F311" s="1" t="n">
        <v>1</v>
      </c>
    </row>
    <row r="312" customFormat="false" ht="15" hidden="false" customHeight="false" outlineLevel="0" collapsed="false">
      <c r="A312" s="4" t="n">
        <v>39114</v>
      </c>
      <c r="B312" s="0" t="s">
        <v>23</v>
      </c>
      <c r="C312" s="1" t="n">
        <v>2</v>
      </c>
      <c r="D312" s="0" t="s">
        <v>16</v>
      </c>
      <c r="G312" s="1" t="n">
        <v>1</v>
      </c>
    </row>
    <row r="313" customFormat="false" ht="15" hidden="false" customHeight="false" outlineLevel="0" collapsed="false">
      <c r="A313" s="4" t="n">
        <v>39114</v>
      </c>
      <c r="B313" s="0" t="s">
        <v>23</v>
      </c>
      <c r="C313" s="1" t="n">
        <v>2</v>
      </c>
      <c r="D313" s="0" t="s">
        <v>17</v>
      </c>
      <c r="E313" s="1" t="n">
        <v>2</v>
      </c>
      <c r="F313" s="1" t="n">
        <v>5</v>
      </c>
      <c r="G313" s="1" t="n">
        <v>1</v>
      </c>
      <c r="I313" s="1" t="n">
        <v>1</v>
      </c>
    </row>
    <row r="314" customFormat="false" ht="15" hidden="false" customHeight="false" outlineLevel="0" collapsed="false">
      <c r="A314" s="4" t="n">
        <v>39114</v>
      </c>
      <c r="B314" s="0" t="s">
        <v>23</v>
      </c>
      <c r="C314" s="1" t="n">
        <v>2</v>
      </c>
      <c r="D314" s="0" t="s">
        <v>18</v>
      </c>
    </row>
    <row r="315" customFormat="false" ht="15" hidden="false" customHeight="false" outlineLevel="0" collapsed="false">
      <c r="A315" s="4" t="n">
        <v>39114</v>
      </c>
      <c r="B315" s="0" t="s">
        <v>23</v>
      </c>
      <c r="C315" s="1" t="n">
        <v>3</v>
      </c>
      <c r="D315" s="0" t="s">
        <v>13</v>
      </c>
      <c r="E315" s="1" t="n">
        <v>14</v>
      </c>
      <c r="K315" s="2" t="n">
        <v>0</v>
      </c>
    </row>
    <row r="316" customFormat="false" ht="15" hidden="false" customHeight="false" outlineLevel="0" collapsed="false">
      <c r="A316" s="4" t="n">
        <v>39114</v>
      </c>
      <c r="B316" s="0" t="s">
        <v>23</v>
      </c>
      <c r="C316" s="1" t="n">
        <v>3</v>
      </c>
      <c r="D316" s="0" t="s">
        <v>14</v>
      </c>
      <c r="E316" s="1" t="n">
        <v>9</v>
      </c>
    </row>
    <row r="317" customFormat="false" ht="15" hidden="false" customHeight="false" outlineLevel="0" collapsed="false">
      <c r="A317" s="4" t="n">
        <v>39114</v>
      </c>
      <c r="B317" s="0" t="s">
        <v>23</v>
      </c>
      <c r="C317" s="1" t="n">
        <v>3</v>
      </c>
      <c r="D317" s="0" t="s">
        <v>15</v>
      </c>
      <c r="F317" s="1" t="n">
        <v>1</v>
      </c>
      <c r="G317" s="1" t="n">
        <v>2</v>
      </c>
      <c r="H317" s="1" t="n">
        <v>3</v>
      </c>
    </row>
    <row r="318" customFormat="false" ht="15" hidden="false" customHeight="false" outlineLevel="0" collapsed="false">
      <c r="A318" s="4" t="n">
        <v>39114</v>
      </c>
      <c r="B318" s="0" t="s">
        <v>23</v>
      </c>
      <c r="C318" s="1" t="n">
        <v>3</v>
      </c>
      <c r="D318" s="0" t="s">
        <v>16</v>
      </c>
      <c r="F318" s="1" t="n">
        <v>4</v>
      </c>
      <c r="G318" s="1" t="n">
        <v>2</v>
      </c>
      <c r="I318" s="1" t="n">
        <v>1</v>
      </c>
    </row>
    <row r="319" customFormat="false" ht="15" hidden="false" customHeight="false" outlineLevel="0" collapsed="false">
      <c r="A319" s="4" t="n">
        <v>39114</v>
      </c>
      <c r="B319" s="0" t="s">
        <v>23</v>
      </c>
      <c r="C319" s="1" t="n">
        <v>3</v>
      </c>
      <c r="D319" s="0" t="s">
        <v>17</v>
      </c>
      <c r="F319" s="1" t="n">
        <v>4</v>
      </c>
      <c r="G319" s="1" t="n">
        <v>4</v>
      </c>
      <c r="I319" s="1" t="n">
        <v>1</v>
      </c>
      <c r="J319" s="1" t="n">
        <v>2</v>
      </c>
    </row>
    <row r="320" customFormat="false" ht="15" hidden="false" customHeight="false" outlineLevel="0" collapsed="false">
      <c r="A320" s="4" t="n">
        <v>39114</v>
      </c>
      <c r="B320" s="0" t="s">
        <v>23</v>
      </c>
      <c r="C320" s="1" t="n">
        <v>3</v>
      </c>
      <c r="D320" s="0" t="s">
        <v>18</v>
      </c>
    </row>
    <row r="321" customFormat="false" ht="15" hidden="false" customHeight="false" outlineLevel="0" collapsed="false">
      <c r="A321" s="4" t="n">
        <v>39114</v>
      </c>
      <c r="B321" s="0" t="s">
        <v>23</v>
      </c>
      <c r="C321" s="1" t="n">
        <v>4</v>
      </c>
      <c r="D321" s="0" t="s">
        <v>13</v>
      </c>
      <c r="E321" s="1" t="n">
        <v>7</v>
      </c>
      <c r="K321" s="2" t="n">
        <v>0</v>
      </c>
    </row>
    <row r="322" customFormat="false" ht="15" hidden="false" customHeight="false" outlineLevel="0" collapsed="false">
      <c r="A322" s="4" t="n">
        <v>39114</v>
      </c>
      <c r="B322" s="0" t="s">
        <v>23</v>
      </c>
      <c r="C322" s="1" t="n">
        <v>4</v>
      </c>
      <c r="D322" s="0" t="s">
        <v>14</v>
      </c>
      <c r="E322" s="1" t="n">
        <v>11</v>
      </c>
      <c r="F322" s="1" t="n">
        <v>9</v>
      </c>
      <c r="G322" s="1" t="n">
        <v>7</v>
      </c>
    </row>
    <row r="323" customFormat="false" ht="15" hidden="false" customHeight="false" outlineLevel="0" collapsed="false">
      <c r="A323" s="4" t="n">
        <v>39114</v>
      </c>
      <c r="B323" s="0" t="s">
        <v>23</v>
      </c>
      <c r="C323" s="1" t="n">
        <v>4</v>
      </c>
      <c r="D323" s="0" t="s">
        <v>15</v>
      </c>
      <c r="I323" s="1" t="n">
        <v>1</v>
      </c>
      <c r="J323" s="1" t="n">
        <v>1</v>
      </c>
    </row>
    <row r="324" customFormat="false" ht="15" hidden="false" customHeight="false" outlineLevel="0" collapsed="false">
      <c r="A324" s="4" t="n">
        <v>39114</v>
      </c>
      <c r="B324" s="0" t="s">
        <v>23</v>
      </c>
      <c r="C324" s="1" t="n">
        <v>4</v>
      </c>
      <c r="D324" s="0" t="s">
        <v>16</v>
      </c>
    </row>
    <row r="325" customFormat="false" ht="15" hidden="false" customHeight="false" outlineLevel="0" collapsed="false">
      <c r="A325" s="4" t="n">
        <v>39114</v>
      </c>
      <c r="B325" s="0" t="s">
        <v>23</v>
      </c>
      <c r="C325" s="1" t="n">
        <v>4</v>
      </c>
      <c r="D325" s="0" t="s">
        <v>17</v>
      </c>
      <c r="I325" s="1" t="n">
        <v>3</v>
      </c>
      <c r="J325" s="1" t="n">
        <v>3</v>
      </c>
    </row>
    <row r="326" customFormat="false" ht="15" hidden="false" customHeight="false" outlineLevel="0" collapsed="false">
      <c r="A326" s="4" t="n">
        <v>39114</v>
      </c>
      <c r="B326" s="0" t="s">
        <v>23</v>
      </c>
      <c r="C326" s="1" t="n">
        <v>4</v>
      </c>
      <c r="D326" s="0" t="s">
        <v>18</v>
      </c>
    </row>
    <row r="327" customFormat="false" ht="15" hidden="false" customHeight="false" outlineLevel="0" collapsed="false">
      <c r="A327" s="4" t="n">
        <v>39115</v>
      </c>
      <c r="B327" s="0" t="s">
        <v>23</v>
      </c>
      <c r="C327" s="1" t="n">
        <v>5</v>
      </c>
      <c r="D327" s="0" t="s">
        <v>13</v>
      </c>
      <c r="E327" s="1" t="n">
        <v>10</v>
      </c>
      <c r="K327" s="2" t="n">
        <v>0</v>
      </c>
    </row>
    <row r="328" customFormat="false" ht="15" hidden="false" customHeight="false" outlineLevel="0" collapsed="false">
      <c r="A328" s="4" t="n">
        <v>39115</v>
      </c>
      <c r="B328" s="0" t="s">
        <v>23</v>
      </c>
      <c r="C328" s="1" t="n">
        <v>5</v>
      </c>
      <c r="D328" s="0" t="s">
        <v>14</v>
      </c>
      <c r="E328" s="1" t="n">
        <v>31</v>
      </c>
      <c r="F328" s="1" t="n">
        <v>6</v>
      </c>
    </row>
    <row r="329" customFormat="false" ht="15" hidden="false" customHeight="false" outlineLevel="0" collapsed="false">
      <c r="A329" s="4" t="n">
        <v>39115</v>
      </c>
      <c r="B329" s="0" t="s">
        <v>23</v>
      </c>
      <c r="C329" s="1" t="n">
        <v>5</v>
      </c>
      <c r="D329" s="0" t="s">
        <v>15</v>
      </c>
      <c r="F329" s="1" t="n">
        <v>1</v>
      </c>
      <c r="H329" s="1" t="n">
        <v>2</v>
      </c>
    </row>
    <row r="330" customFormat="false" ht="15" hidden="false" customHeight="false" outlineLevel="0" collapsed="false">
      <c r="A330" s="4" t="n">
        <v>39115</v>
      </c>
      <c r="B330" s="0" t="s">
        <v>23</v>
      </c>
      <c r="C330" s="1" t="n">
        <v>5</v>
      </c>
      <c r="D330" s="0" t="s">
        <v>16</v>
      </c>
      <c r="E330" s="1" t="n">
        <v>5</v>
      </c>
      <c r="F330" s="1" t="n">
        <v>4</v>
      </c>
      <c r="H330" s="1" t="n">
        <v>1</v>
      </c>
    </row>
    <row r="331" customFormat="false" ht="15" hidden="false" customHeight="false" outlineLevel="0" collapsed="false">
      <c r="A331" s="4" t="n">
        <v>39115</v>
      </c>
      <c r="B331" s="0" t="s">
        <v>23</v>
      </c>
      <c r="C331" s="1" t="n">
        <v>5</v>
      </c>
      <c r="D331" s="0" t="s">
        <v>17</v>
      </c>
      <c r="E331" s="1" t="n">
        <v>1</v>
      </c>
      <c r="F331" s="1" t="n">
        <v>3</v>
      </c>
      <c r="I331" s="1" t="n">
        <v>10</v>
      </c>
      <c r="J331" s="1" t="n">
        <v>5</v>
      </c>
    </row>
    <row r="332" customFormat="false" ht="15" hidden="false" customHeight="false" outlineLevel="0" collapsed="false">
      <c r="A332" s="4" t="n">
        <v>39115</v>
      </c>
      <c r="B332" s="0" t="s">
        <v>23</v>
      </c>
      <c r="C332" s="1" t="n">
        <v>5</v>
      </c>
      <c r="D332" s="0" t="s">
        <v>18</v>
      </c>
    </row>
    <row r="333" customFormat="false" ht="15" hidden="false" customHeight="false" outlineLevel="0" collapsed="false">
      <c r="A333" s="4" t="n">
        <v>39115</v>
      </c>
      <c r="B333" s="0" t="s">
        <v>23</v>
      </c>
      <c r="C333" s="1" t="n">
        <v>6</v>
      </c>
      <c r="D333" s="0" t="s">
        <v>13</v>
      </c>
      <c r="E333" s="1" t="n">
        <v>5</v>
      </c>
      <c r="K333" s="2" t="n">
        <v>0</v>
      </c>
    </row>
    <row r="334" customFormat="false" ht="15" hidden="false" customHeight="false" outlineLevel="0" collapsed="false">
      <c r="A334" s="4" t="n">
        <v>39115</v>
      </c>
      <c r="B334" s="0" t="s">
        <v>23</v>
      </c>
      <c r="C334" s="1" t="n">
        <v>6</v>
      </c>
      <c r="D334" s="0" t="s">
        <v>14</v>
      </c>
      <c r="E334" s="1" t="n">
        <v>8</v>
      </c>
      <c r="F334" s="1" t="n">
        <v>5</v>
      </c>
    </row>
    <row r="335" customFormat="false" ht="15" hidden="false" customHeight="false" outlineLevel="0" collapsed="false">
      <c r="A335" s="4" t="n">
        <v>39115</v>
      </c>
      <c r="B335" s="0" t="s">
        <v>23</v>
      </c>
      <c r="C335" s="1" t="n">
        <v>6</v>
      </c>
      <c r="D335" s="0" t="s">
        <v>15</v>
      </c>
      <c r="E335" s="1" t="n">
        <v>1</v>
      </c>
      <c r="F335" s="1" t="n">
        <v>1</v>
      </c>
      <c r="G335" s="1" t="n">
        <v>1</v>
      </c>
      <c r="H335" s="1" t="n">
        <v>1</v>
      </c>
    </row>
    <row r="336" customFormat="false" ht="15" hidden="false" customHeight="false" outlineLevel="0" collapsed="false">
      <c r="A336" s="4" t="n">
        <v>39115</v>
      </c>
      <c r="B336" s="0" t="s">
        <v>23</v>
      </c>
      <c r="C336" s="1" t="n">
        <v>6</v>
      </c>
      <c r="D336" s="0" t="s">
        <v>16</v>
      </c>
      <c r="H336" s="1" t="n">
        <v>1</v>
      </c>
      <c r="I336" s="1" t="n">
        <v>3</v>
      </c>
    </row>
    <row r="337" customFormat="false" ht="15" hidden="false" customHeight="false" outlineLevel="0" collapsed="false">
      <c r="A337" s="4" t="n">
        <v>39115</v>
      </c>
      <c r="B337" s="0" t="s">
        <v>23</v>
      </c>
      <c r="C337" s="1" t="n">
        <v>6</v>
      </c>
      <c r="D337" s="0" t="s">
        <v>17</v>
      </c>
      <c r="H337" s="1" t="n">
        <v>1</v>
      </c>
      <c r="I337" s="1" t="n">
        <v>3</v>
      </c>
      <c r="J337" s="1" t="n">
        <v>6</v>
      </c>
    </row>
    <row r="338" customFormat="false" ht="15" hidden="false" customHeight="false" outlineLevel="0" collapsed="false">
      <c r="A338" s="4" t="n">
        <v>39115</v>
      </c>
      <c r="B338" s="0" t="s">
        <v>23</v>
      </c>
      <c r="C338" s="1" t="n">
        <v>6</v>
      </c>
      <c r="D338" s="0" t="s">
        <v>18</v>
      </c>
    </row>
    <row r="339" customFormat="false" ht="15" hidden="false" customHeight="false" outlineLevel="0" collapsed="false">
      <c r="A339" s="4" t="n">
        <v>39115</v>
      </c>
      <c r="B339" s="0" t="s">
        <v>23</v>
      </c>
      <c r="C339" s="1" t="n">
        <v>7</v>
      </c>
      <c r="D339" s="0" t="s">
        <v>13</v>
      </c>
      <c r="E339" s="1" t="n">
        <v>1</v>
      </c>
      <c r="F339" s="1" t="n">
        <v>2</v>
      </c>
      <c r="K339" s="2" t="n">
        <v>0</v>
      </c>
    </row>
    <row r="340" customFormat="false" ht="15" hidden="false" customHeight="false" outlineLevel="0" collapsed="false">
      <c r="A340" s="4" t="n">
        <v>39115</v>
      </c>
      <c r="B340" s="0" t="s">
        <v>23</v>
      </c>
      <c r="C340" s="1" t="n">
        <v>7</v>
      </c>
      <c r="D340" s="0" t="s">
        <v>14</v>
      </c>
      <c r="E340" s="1" t="n">
        <v>23</v>
      </c>
      <c r="F340" s="1" t="n">
        <v>4</v>
      </c>
      <c r="H340" s="1" t="n">
        <v>3</v>
      </c>
    </row>
    <row r="341" customFormat="false" ht="15" hidden="false" customHeight="false" outlineLevel="0" collapsed="false">
      <c r="A341" s="4" t="n">
        <v>39115</v>
      </c>
      <c r="B341" s="0" t="s">
        <v>23</v>
      </c>
      <c r="C341" s="1" t="n">
        <v>7</v>
      </c>
      <c r="D341" s="0" t="s">
        <v>15</v>
      </c>
      <c r="G341" s="1" t="n">
        <v>2</v>
      </c>
    </row>
    <row r="342" customFormat="false" ht="15" hidden="false" customHeight="false" outlineLevel="0" collapsed="false">
      <c r="A342" s="4" t="n">
        <v>39115</v>
      </c>
      <c r="B342" s="0" t="s">
        <v>23</v>
      </c>
      <c r="C342" s="1" t="n">
        <v>7</v>
      </c>
      <c r="D342" s="0" t="s">
        <v>16</v>
      </c>
      <c r="G342" s="1" t="n">
        <v>2</v>
      </c>
      <c r="I342" s="1" t="n">
        <v>1</v>
      </c>
      <c r="J342" s="1" t="n">
        <v>4</v>
      </c>
    </row>
    <row r="343" customFormat="false" ht="15" hidden="false" customHeight="false" outlineLevel="0" collapsed="false">
      <c r="A343" s="4" t="n">
        <v>39115</v>
      </c>
      <c r="B343" s="0" t="s">
        <v>23</v>
      </c>
      <c r="C343" s="1" t="n">
        <v>7</v>
      </c>
      <c r="D343" s="0" t="s">
        <v>17</v>
      </c>
      <c r="G343" s="1" t="n">
        <v>1</v>
      </c>
      <c r="H343" s="1" t="n">
        <v>4</v>
      </c>
      <c r="I343" s="1" t="n">
        <v>4</v>
      </c>
      <c r="J343" s="1" t="n">
        <v>9</v>
      </c>
    </row>
    <row r="344" customFormat="false" ht="15" hidden="false" customHeight="false" outlineLevel="0" collapsed="false">
      <c r="A344" s="4" t="n">
        <v>39115</v>
      </c>
      <c r="B344" s="0" t="s">
        <v>23</v>
      </c>
      <c r="C344" s="1" t="n">
        <v>7</v>
      </c>
      <c r="D344" s="0" t="s">
        <v>18</v>
      </c>
    </row>
    <row r="345" customFormat="false" ht="15" hidden="false" customHeight="false" outlineLevel="0" collapsed="false">
      <c r="A345" s="4" t="n">
        <v>39115</v>
      </c>
      <c r="B345" s="0" t="s">
        <v>23</v>
      </c>
      <c r="C345" s="1" t="n">
        <v>8</v>
      </c>
      <c r="D345" s="0" t="s">
        <v>13</v>
      </c>
      <c r="E345" s="1" t="n">
        <v>11</v>
      </c>
      <c r="F345" s="1" t="n">
        <v>3</v>
      </c>
      <c r="K345" s="2" t="n">
        <v>0</v>
      </c>
    </row>
    <row r="346" customFormat="false" ht="15" hidden="false" customHeight="false" outlineLevel="0" collapsed="false">
      <c r="A346" s="4" t="n">
        <v>39115</v>
      </c>
      <c r="B346" s="0" t="s">
        <v>23</v>
      </c>
      <c r="C346" s="1" t="n">
        <v>8</v>
      </c>
      <c r="D346" s="0" t="s">
        <v>14</v>
      </c>
      <c r="E346" s="1" t="n">
        <v>13</v>
      </c>
      <c r="F346" s="1" t="n">
        <v>5</v>
      </c>
      <c r="H346" s="1" t="n">
        <v>1</v>
      </c>
    </row>
    <row r="347" customFormat="false" ht="15" hidden="false" customHeight="false" outlineLevel="0" collapsed="false">
      <c r="A347" s="4" t="n">
        <v>39115</v>
      </c>
      <c r="B347" s="0" t="s">
        <v>23</v>
      </c>
      <c r="C347" s="1" t="n">
        <v>8</v>
      </c>
      <c r="D347" s="0" t="s">
        <v>15</v>
      </c>
      <c r="F347" s="1" t="n">
        <v>1</v>
      </c>
      <c r="G347" s="1" t="n">
        <v>3</v>
      </c>
      <c r="H347" s="1" t="n">
        <v>3</v>
      </c>
    </row>
    <row r="348" customFormat="false" ht="15" hidden="false" customHeight="false" outlineLevel="0" collapsed="false">
      <c r="A348" s="4" t="n">
        <v>39115</v>
      </c>
      <c r="B348" s="0" t="s">
        <v>23</v>
      </c>
      <c r="C348" s="1" t="n">
        <v>8</v>
      </c>
      <c r="D348" s="0" t="s">
        <v>16</v>
      </c>
      <c r="E348" s="1" t="n">
        <v>6</v>
      </c>
      <c r="F348" s="1" t="n">
        <v>2</v>
      </c>
    </row>
    <row r="349" customFormat="false" ht="15" hidden="false" customHeight="false" outlineLevel="0" collapsed="false">
      <c r="A349" s="4" t="n">
        <v>39115</v>
      </c>
      <c r="B349" s="0" t="s">
        <v>23</v>
      </c>
      <c r="C349" s="1" t="n">
        <v>8</v>
      </c>
      <c r="D349" s="0" t="s">
        <v>17</v>
      </c>
      <c r="H349" s="1" t="n">
        <v>2</v>
      </c>
      <c r="I349" s="1" t="n">
        <v>7</v>
      </c>
      <c r="J349" s="1" t="n">
        <v>1</v>
      </c>
    </row>
    <row r="350" customFormat="false" ht="15" hidden="false" customHeight="false" outlineLevel="0" collapsed="false">
      <c r="A350" s="4" t="n">
        <v>39115</v>
      </c>
      <c r="B350" s="0" t="s">
        <v>23</v>
      </c>
      <c r="C350" s="1" t="n">
        <v>8</v>
      </c>
      <c r="D350" s="0" t="s">
        <v>18</v>
      </c>
    </row>
    <row r="351" customFormat="false" ht="15" hidden="false" customHeight="false" outlineLevel="0" collapsed="false">
      <c r="A351" s="4" t="n">
        <v>39116</v>
      </c>
      <c r="B351" s="0" t="s">
        <v>23</v>
      </c>
      <c r="C351" s="1" t="n">
        <v>9</v>
      </c>
      <c r="D351" s="0" t="s">
        <v>13</v>
      </c>
      <c r="E351" s="1" t="n">
        <v>9</v>
      </c>
      <c r="K351" s="2" t="n">
        <v>0</v>
      </c>
    </row>
    <row r="352" customFormat="false" ht="15" hidden="false" customHeight="false" outlineLevel="0" collapsed="false">
      <c r="A352" s="4" t="n">
        <v>39116</v>
      </c>
      <c r="B352" s="0" t="s">
        <v>23</v>
      </c>
      <c r="C352" s="1" t="n">
        <v>9</v>
      </c>
      <c r="D352" s="0" t="s">
        <v>14</v>
      </c>
      <c r="E352" s="1" t="n">
        <v>2</v>
      </c>
    </row>
    <row r="353" customFormat="false" ht="15" hidden="false" customHeight="false" outlineLevel="0" collapsed="false">
      <c r="A353" s="4" t="n">
        <v>39116</v>
      </c>
      <c r="B353" s="0" t="s">
        <v>23</v>
      </c>
      <c r="C353" s="1" t="n">
        <v>9</v>
      </c>
      <c r="D353" s="0" t="s">
        <v>15</v>
      </c>
      <c r="I353" s="1" t="n">
        <v>1</v>
      </c>
    </row>
    <row r="354" customFormat="false" ht="15" hidden="false" customHeight="false" outlineLevel="0" collapsed="false">
      <c r="A354" s="4" t="n">
        <v>39116</v>
      </c>
      <c r="B354" s="0" t="s">
        <v>23</v>
      </c>
      <c r="C354" s="1" t="n">
        <v>9</v>
      </c>
      <c r="D354" s="0" t="s">
        <v>16</v>
      </c>
      <c r="J354" s="1" t="n">
        <v>2</v>
      </c>
    </row>
    <row r="355" customFormat="false" ht="15" hidden="false" customHeight="false" outlineLevel="0" collapsed="false">
      <c r="A355" s="4" t="n">
        <v>39116</v>
      </c>
      <c r="B355" s="0" t="s">
        <v>23</v>
      </c>
      <c r="C355" s="1" t="n">
        <v>9</v>
      </c>
      <c r="D355" s="0" t="s">
        <v>17</v>
      </c>
    </row>
    <row r="356" customFormat="false" ht="15" hidden="false" customHeight="false" outlineLevel="0" collapsed="false">
      <c r="A356" s="4" t="n">
        <v>39116</v>
      </c>
      <c r="B356" s="0" t="s">
        <v>23</v>
      </c>
      <c r="C356" s="1" t="n">
        <v>9</v>
      </c>
      <c r="D356" s="0" t="s">
        <v>18</v>
      </c>
      <c r="E356" s="1" t="n">
        <v>3</v>
      </c>
      <c r="F356" s="1" t="n">
        <v>3</v>
      </c>
      <c r="G356" s="1" t="n">
        <v>5</v>
      </c>
    </row>
    <row r="357" customFormat="false" ht="15" hidden="false" customHeight="false" outlineLevel="0" collapsed="false">
      <c r="A357" s="4" t="n">
        <v>39116</v>
      </c>
      <c r="B357" s="0" t="s">
        <v>23</v>
      </c>
      <c r="C357" s="1" t="n">
        <v>10</v>
      </c>
      <c r="D357" s="0" t="s">
        <v>13</v>
      </c>
      <c r="E357" s="1" t="n">
        <v>3</v>
      </c>
      <c r="K357" s="2" t="n">
        <v>0</v>
      </c>
    </row>
    <row r="358" customFormat="false" ht="15" hidden="false" customHeight="false" outlineLevel="0" collapsed="false">
      <c r="A358" s="4" t="n">
        <v>39116</v>
      </c>
      <c r="B358" s="0" t="s">
        <v>23</v>
      </c>
      <c r="C358" s="1" t="n">
        <v>10</v>
      </c>
      <c r="D358" s="0" t="s">
        <v>14</v>
      </c>
      <c r="E358" s="1" t="n">
        <v>10</v>
      </c>
      <c r="F358" s="1" t="n">
        <v>1</v>
      </c>
    </row>
    <row r="359" customFormat="false" ht="15" hidden="false" customHeight="false" outlineLevel="0" collapsed="false">
      <c r="A359" s="4" t="n">
        <v>39116</v>
      </c>
      <c r="B359" s="0" t="s">
        <v>23</v>
      </c>
      <c r="C359" s="1" t="n">
        <v>10</v>
      </c>
      <c r="D359" s="0" t="s">
        <v>15</v>
      </c>
      <c r="E359" s="1" t="n">
        <v>2</v>
      </c>
      <c r="F359" s="1" t="n">
        <v>4</v>
      </c>
      <c r="G359" s="1" t="n">
        <v>7</v>
      </c>
      <c r="I359" s="1" t="n">
        <v>2</v>
      </c>
    </row>
    <row r="360" customFormat="false" ht="15" hidden="false" customHeight="false" outlineLevel="0" collapsed="false">
      <c r="A360" s="4" t="n">
        <v>39116</v>
      </c>
      <c r="B360" s="0" t="s">
        <v>23</v>
      </c>
      <c r="C360" s="1" t="n">
        <v>10</v>
      </c>
      <c r="D360" s="0" t="s">
        <v>16</v>
      </c>
      <c r="F360" s="1" t="n">
        <v>1</v>
      </c>
    </row>
    <row r="361" customFormat="false" ht="15" hidden="false" customHeight="false" outlineLevel="0" collapsed="false">
      <c r="A361" s="4" t="n">
        <v>39116</v>
      </c>
      <c r="B361" s="0" t="s">
        <v>23</v>
      </c>
      <c r="C361" s="1" t="n">
        <v>10</v>
      </c>
      <c r="D361" s="0" t="s">
        <v>17</v>
      </c>
      <c r="F361" s="1" t="n">
        <v>3</v>
      </c>
      <c r="G361" s="1" t="n">
        <v>1</v>
      </c>
      <c r="H361" s="1" t="n">
        <v>3</v>
      </c>
      <c r="I361" s="1" t="n">
        <v>2</v>
      </c>
    </row>
    <row r="362" customFormat="false" ht="15" hidden="false" customHeight="false" outlineLevel="0" collapsed="false">
      <c r="A362" s="4" t="n">
        <v>39116</v>
      </c>
      <c r="B362" s="0" t="s">
        <v>23</v>
      </c>
      <c r="C362" s="1" t="n">
        <v>10</v>
      </c>
      <c r="D362" s="0" t="s">
        <v>18</v>
      </c>
    </row>
  </sheetData>
  <mergeCells count="1">
    <mergeCell ref="E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2" activeCellId="0" sqref="B2"/>
    </sheetView>
  </sheetViews>
  <sheetFormatPr defaultColWidth="10.51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.14"/>
    <col collapsed="false" customWidth="true" hidden="false" outlineLevel="0" max="3" min="3" style="0" width="15.15"/>
    <col collapsed="false" customWidth="true" hidden="false" outlineLevel="0" max="7" min="4" style="0" width="17.86"/>
    <col collapsed="false" customWidth="true" hidden="false" outlineLevel="0" max="8" min="8" style="0" width="10"/>
    <col collapsed="false" customWidth="true" hidden="false" outlineLevel="0" max="10" min="9" style="0" width="12.14"/>
    <col collapsed="false" customWidth="true" hidden="false" outlineLevel="0" max="11" min="11" style="1" width="12.14"/>
    <col collapsed="false" customWidth="true" hidden="false" outlineLevel="0" max="13" min="12" style="0" width="12.14"/>
    <col collapsed="false" customWidth="true" hidden="false" outlineLevel="0" max="26" min="26" style="0" width="13.17"/>
  </cols>
  <sheetData>
    <row r="1" customFormat="false" ht="15" hidden="false" customHeight="false" outlineLevel="0" collapsed="false">
      <c r="A1" s="5" t="s">
        <v>2</v>
      </c>
      <c r="B1" s="6" t="s">
        <v>24</v>
      </c>
      <c r="O1" s="0" t="s">
        <v>25</v>
      </c>
      <c r="P1" s="0" t="s">
        <v>26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27</v>
      </c>
      <c r="X1" s="1" t="s">
        <v>28</v>
      </c>
      <c r="Y1" s="0" t="s">
        <v>25</v>
      </c>
      <c r="Z1" s="1" t="s">
        <v>29</v>
      </c>
      <c r="AA1" s="0" t="s">
        <v>26</v>
      </c>
      <c r="AB1" s="1" t="s">
        <v>30</v>
      </c>
      <c r="AC1" s="1" t="s">
        <v>31</v>
      </c>
      <c r="AD1" s="0" t="s">
        <v>32</v>
      </c>
      <c r="AE1" s="1" t="s">
        <v>33</v>
      </c>
      <c r="AG1" s="7"/>
      <c r="AH1" s="7"/>
    </row>
    <row r="2" customFormat="false" ht="15" hidden="false" customHeight="false" outlineLevel="0" collapsed="false">
      <c r="A2" s="8" t="s">
        <v>23</v>
      </c>
      <c r="B2" s="9" t="n">
        <v>0.1</v>
      </c>
      <c r="O2" s="10" t="n">
        <v>0.1</v>
      </c>
      <c r="P2" s="11" t="s">
        <v>23</v>
      </c>
      <c r="Q2" s="12" t="n">
        <v>9.03703703703704</v>
      </c>
      <c r="R2" s="12" t="n">
        <v>3.39285714285714</v>
      </c>
      <c r="S2" s="12" t="n">
        <v>2.52941176470588</v>
      </c>
      <c r="T2" s="12" t="n">
        <v>2</v>
      </c>
      <c r="U2" s="12" t="n">
        <v>2.93333333333333</v>
      </c>
      <c r="V2" s="12" t="n">
        <v>3.63636363636364</v>
      </c>
      <c r="W2" s="10" t="n">
        <f aca="false">SUM(Q2:V2)</f>
        <v>23.529002914297</v>
      </c>
      <c r="X2" s="10" t="n">
        <f aca="false">W2/6</f>
        <v>3.92150048571617</v>
      </c>
      <c r="Y2" s="10" t="n">
        <v>0.1</v>
      </c>
      <c r="Z2" s="0" t="n">
        <v>8.77</v>
      </c>
      <c r="AA2" s="11" t="s">
        <v>34</v>
      </c>
      <c r="AB2" s="10" t="n">
        <f aca="false">Q2+R2/2</f>
        <v>10.7334656084656</v>
      </c>
      <c r="AC2" s="13" t="n">
        <f aca="false">T2+S2/2</f>
        <v>3.26470588235294</v>
      </c>
      <c r="AD2" s="10" t="n">
        <f aca="false">U2+V2/2</f>
        <v>4.75151515151515</v>
      </c>
      <c r="AE2" s="0" t="n">
        <v>1</v>
      </c>
      <c r="AG2" s="7"/>
      <c r="AH2" s="7"/>
    </row>
    <row r="3" customFormat="false" ht="13.8" hidden="false" customHeight="false" outlineLevel="0" collapsed="false">
      <c r="A3" s="14" t="s">
        <v>22</v>
      </c>
      <c r="B3" s="15" t="n">
        <v>0.5</v>
      </c>
      <c r="O3" s="10" t="n">
        <v>0.5</v>
      </c>
      <c r="P3" s="11" t="s">
        <v>22</v>
      </c>
      <c r="Q3" s="12" t="n">
        <v>6.79310344827586</v>
      </c>
      <c r="R3" s="12" t="n">
        <v>2.15384615384615</v>
      </c>
      <c r="S3" s="12" t="n">
        <v>3.16666666666667</v>
      </c>
      <c r="T3" s="12" t="n">
        <v>2.8</v>
      </c>
      <c r="U3" s="12" t="n">
        <v>2.7</v>
      </c>
      <c r="V3" s="12" t="n">
        <v>4.14285714285714</v>
      </c>
      <c r="W3" s="10" t="n">
        <f aca="false">SUM(Q3:V3)</f>
        <v>21.7564734116458</v>
      </c>
      <c r="X3" s="10" t="n">
        <f aca="false">W3/6</f>
        <v>3.62607890194097</v>
      </c>
      <c r="Y3" s="10" t="n">
        <v>0.5</v>
      </c>
      <c r="Z3" s="16" t="n">
        <v>1.1</v>
      </c>
      <c r="AA3" s="11" t="s">
        <v>35</v>
      </c>
      <c r="AB3" s="10" t="n">
        <f aca="false">Q3+R3/2</f>
        <v>7.87002652519894</v>
      </c>
      <c r="AC3" s="13" t="n">
        <f aca="false">T3+S3/2</f>
        <v>4.38333333333333</v>
      </c>
      <c r="AD3" s="10" t="n">
        <f aca="false">U3+V3/2</f>
        <v>4.77142857142857</v>
      </c>
      <c r="AE3" s="0" t="n">
        <v>5</v>
      </c>
      <c r="AG3" s="7"/>
      <c r="AH3" s="7"/>
    </row>
    <row r="4" customFormat="false" ht="15" hidden="false" customHeight="false" outlineLevel="0" collapsed="false">
      <c r="A4" s="14" t="s">
        <v>21</v>
      </c>
      <c r="B4" s="15" t="n">
        <v>2.9</v>
      </c>
      <c r="O4" s="10" t="n">
        <v>2.9</v>
      </c>
      <c r="P4" s="11" t="s">
        <v>21</v>
      </c>
      <c r="Q4" s="12" t="n">
        <v>5.30434782608696</v>
      </c>
      <c r="R4" s="12" t="n">
        <v>2.13333333333333</v>
      </c>
      <c r="S4" s="12" t="n">
        <v>1.55555555555556</v>
      </c>
      <c r="T4" s="12" t="n">
        <v>2.6</v>
      </c>
      <c r="U4" s="12" t="n">
        <v>2</v>
      </c>
      <c r="V4" s="12" t="n">
        <v>2.8</v>
      </c>
      <c r="W4" s="10" t="n">
        <f aca="false">SUM(Q4:V4)</f>
        <v>16.3932367149758</v>
      </c>
      <c r="X4" s="10" t="n">
        <f aca="false">W4/6</f>
        <v>2.73220611916264</v>
      </c>
      <c r="Y4" s="10" t="n">
        <v>2.9</v>
      </c>
      <c r="Z4" s="0" t="n">
        <v>14.78</v>
      </c>
      <c r="AA4" s="11" t="s">
        <v>36</v>
      </c>
      <c r="AB4" s="10" t="n">
        <f aca="false">Q4+R4/2</f>
        <v>6.37101449275362</v>
      </c>
      <c r="AC4" s="13" t="n">
        <f aca="false">T4+S4/2</f>
        <v>3.37777777777778</v>
      </c>
      <c r="AD4" s="10" t="n">
        <f aca="false">U4+V4/2</f>
        <v>3.4</v>
      </c>
      <c r="AE4" s="0" t="n">
        <v>29</v>
      </c>
      <c r="AG4" s="7"/>
      <c r="AH4" s="7"/>
    </row>
    <row r="5" customFormat="false" ht="15" hidden="false" customHeight="false" outlineLevel="0" collapsed="false">
      <c r="A5" s="14" t="s">
        <v>20</v>
      </c>
      <c r="B5" s="15" t="n">
        <v>1.9</v>
      </c>
      <c r="O5" s="10" t="n">
        <v>1.9</v>
      </c>
      <c r="P5" s="11" t="s">
        <v>20</v>
      </c>
      <c r="Q5" s="12" t="n">
        <v>2.4</v>
      </c>
      <c r="R5" s="12" t="n">
        <v>1.33333333333333</v>
      </c>
      <c r="S5" s="12" t="n">
        <v>1.625</v>
      </c>
      <c r="T5" s="12" t="n">
        <v>2</v>
      </c>
      <c r="U5" s="12" t="n">
        <v>1.28571428571429</v>
      </c>
      <c r="V5" s="12" t="n">
        <v>2.14285714285714</v>
      </c>
      <c r="W5" s="10" t="n">
        <f aca="false">SUM(Q5:V5)</f>
        <v>10.7869047619048</v>
      </c>
      <c r="X5" s="10" t="n">
        <f aca="false">W5/6</f>
        <v>1.79781746031746</v>
      </c>
      <c r="Y5" s="10" t="n">
        <v>1.9</v>
      </c>
      <c r="Z5" s="0" t="n">
        <v>30.32</v>
      </c>
      <c r="AA5" s="11" t="s">
        <v>37</v>
      </c>
      <c r="AB5" s="10" t="n">
        <f aca="false">Q5+R5/2</f>
        <v>3.06666666666667</v>
      </c>
      <c r="AC5" s="13" t="n">
        <f aca="false">T5+S5/2</f>
        <v>2.8125</v>
      </c>
      <c r="AD5" s="10" t="n">
        <f aca="false">U5+V5/2</f>
        <v>2.35714285714286</v>
      </c>
      <c r="AE5" s="0" t="n">
        <v>19</v>
      </c>
      <c r="AG5" s="7"/>
      <c r="AH5" s="7"/>
    </row>
    <row r="6" customFormat="false" ht="15" hidden="false" customHeight="false" outlineLevel="0" collapsed="false">
      <c r="A6" s="14" t="s">
        <v>19</v>
      </c>
      <c r="B6" s="15" t="n">
        <v>1.8</v>
      </c>
      <c r="O6" s="10" t="n">
        <v>1.8</v>
      </c>
      <c r="P6" s="11" t="s">
        <v>19</v>
      </c>
      <c r="Q6" s="12" t="n">
        <v>2.63157894736842</v>
      </c>
      <c r="R6" s="12" t="n">
        <v>1.71428571428571</v>
      </c>
      <c r="S6" s="12" t="n">
        <v>2.4</v>
      </c>
      <c r="T6" s="12" t="n">
        <v>2.16666666666667</v>
      </c>
      <c r="U6" s="12" t="n">
        <v>1.66666666666667</v>
      </c>
      <c r="V6" s="12" t="n">
        <v>1.6</v>
      </c>
      <c r="W6" s="10" t="n">
        <f aca="false">SUM(Q6:V6)</f>
        <v>12.1791979949875</v>
      </c>
      <c r="X6" s="10" t="n">
        <f aca="false">W6/6</f>
        <v>2.02986633249791</v>
      </c>
      <c r="Y6" s="10" t="n">
        <v>1.8</v>
      </c>
      <c r="Z6" s="0" t="n">
        <v>32.09</v>
      </c>
      <c r="AA6" s="11" t="s">
        <v>38</v>
      </c>
      <c r="AB6" s="10" t="n">
        <f aca="false">Q6+R6/2</f>
        <v>3.48872180451128</v>
      </c>
      <c r="AC6" s="13" t="n">
        <f aca="false">T6+S6/2</f>
        <v>3.36666666666667</v>
      </c>
      <c r="AD6" s="10" t="n">
        <f aca="false">U6+V6/2</f>
        <v>2.46666666666667</v>
      </c>
      <c r="AE6" s="0" t="n">
        <v>18</v>
      </c>
      <c r="AG6" s="7"/>
      <c r="AH6" s="7"/>
    </row>
    <row r="7" customFormat="false" ht="15" hidden="false" customHeight="false" outlineLevel="0" collapsed="false">
      <c r="A7" s="14" t="s">
        <v>12</v>
      </c>
      <c r="B7" s="17" t="n">
        <v>0.2</v>
      </c>
      <c r="O7" s="10" t="n">
        <v>0.2</v>
      </c>
      <c r="P7" s="11" t="s">
        <v>12</v>
      </c>
      <c r="Q7" s="12" t="n">
        <v>3.4375</v>
      </c>
      <c r="R7" s="12" t="n">
        <v>2.89473684210526</v>
      </c>
      <c r="S7" s="12" t="n">
        <v>1.63636363636364</v>
      </c>
      <c r="T7" s="12" t="n">
        <v>1.875</v>
      </c>
      <c r="U7" s="12" t="n">
        <v>2.25</v>
      </c>
      <c r="V7" s="12" t="n">
        <v>2.71428571428571</v>
      </c>
      <c r="W7" s="10" t="n">
        <f aca="false">SUM(Q7:V7)</f>
        <v>14.8078861927546</v>
      </c>
      <c r="X7" s="10" t="n">
        <f aca="false">W7/6</f>
        <v>2.46798103212577</v>
      </c>
      <c r="Y7" s="10" t="n">
        <v>0.2</v>
      </c>
      <c r="Z7" s="0" t="n">
        <v>11.99</v>
      </c>
      <c r="AA7" s="11" t="s">
        <v>39</v>
      </c>
      <c r="AB7" s="10" t="n">
        <f aca="false">Q7+R7/2</f>
        <v>4.88486842105263</v>
      </c>
      <c r="AC7" s="13" t="n">
        <f aca="false">T7+S7/2</f>
        <v>2.69318181818182</v>
      </c>
      <c r="AD7" s="10" t="n">
        <f aca="false">U7+V7/2</f>
        <v>3.60714285714286</v>
      </c>
      <c r="AE7" s="0" t="n">
        <v>2</v>
      </c>
      <c r="AG7" s="7"/>
      <c r="AH7" s="7"/>
    </row>
    <row r="8" customFormat="false" ht="15" hidden="false" customHeight="false" outlineLevel="0" collapsed="false">
      <c r="A8" s="18" t="s">
        <v>40</v>
      </c>
      <c r="B8" s="19" t="n">
        <v>1.23333333333333</v>
      </c>
      <c r="AF8" s="20"/>
      <c r="AG8" s="7"/>
      <c r="AH8" s="7"/>
    </row>
    <row r="9" customFormat="false" ht="15" hidden="false" customHeight="false" outlineLevel="0" collapsed="false">
      <c r="Q9" s="11"/>
      <c r="R9" s="11"/>
      <c r="S9" s="11"/>
      <c r="T9" s="11"/>
      <c r="U9" s="11"/>
      <c r="V9" s="11"/>
      <c r="AF9" s="20"/>
      <c r="AG9" s="7"/>
      <c r="AH9" s="7"/>
    </row>
    <row r="10" customFormat="false" ht="15" hidden="false" customHeight="false" outlineLevel="0" collapsed="false">
      <c r="Q10" s="1"/>
      <c r="R10" s="1"/>
      <c r="S10" s="1"/>
      <c r="T10" s="1"/>
      <c r="U10" s="12"/>
      <c r="AF10" s="20"/>
      <c r="AG10" s="7"/>
      <c r="AH10" s="7"/>
    </row>
    <row r="11" customFormat="false" ht="15" hidden="false" customHeight="false" outlineLevel="0" collapsed="false">
      <c r="A11" s="5" t="s">
        <v>2</v>
      </c>
      <c r="B11" s="6" t="s">
        <v>41</v>
      </c>
      <c r="P11" s="1" t="s">
        <v>5</v>
      </c>
      <c r="Q11" s="1" t="s">
        <v>6</v>
      </c>
      <c r="R11" s="1" t="s">
        <v>7</v>
      </c>
      <c r="S11" s="1" t="s">
        <v>8</v>
      </c>
      <c r="T11" s="1" t="s">
        <v>9</v>
      </c>
      <c r="U11" s="1" t="s">
        <v>10</v>
      </c>
      <c r="V11" s="10"/>
      <c r="AF11" s="20"/>
      <c r="AG11" s="7"/>
      <c r="AH11" s="7"/>
    </row>
    <row r="12" customFormat="false" ht="15" hidden="false" customHeight="false" outlineLevel="0" collapsed="false">
      <c r="A12" s="8" t="s">
        <v>23</v>
      </c>
      <c r="B12" s="21"/>
      <c r="O12" s="11" t="s">
        <v>34</v>
      </c>
      <c r="P12" s="12" t="n">
        <v>9.03703703703704</v>
      </c>
      <c r="Q12" s="12" t="n">
        <v>3.39285714285714</v>
      </c>
      <c r="R12" s="12" t="n">
        <v>2.52941176470588</v>
      </c>
      <c r="S12" s="12" t="n">
        <v>2</v>
      </c>
      <c r="T12" s="12" t="n">
        <v>2.93333333333333</v>
      </c>
      <c r="U12" s="12" t="n">
        <v>3.63636363636364</v>
      </c>
      <c r="V12" s="10"/>
      <c r="AF12" s="20"/>
      <c r="AG12" s="7"/>
      <c r="AH12" s="7"/>
    </row>
    <row r="13" customFormat="false" ht="15" hidden="false" customHeight="false" outlineLevel="0" collapsed="false">
      <c r="A13" s="14" t="s">
        <v>22</v>
      </c>
      <c r="B13" s="22"/>
      <c r="O13" s="11" t="s">
        <v>35</v>
      </c>
      <c r="P13" s="12" t="n">
        <v>6.79310344827586</v>
      </c>
      <c r="Q13" s="12" t="n">
        <v>2.15384615384615</v>
      </c>
      <c r="R13" s="12" t="n">
        <v>3.16666666666667</v>
      </c>
      <c r="S13" s="12" t="n">
        <v>2.8</v>
      </c>
      <c r="T13" s="12" t="n">
        <v>2.7</v>
      </c>
      <c r="U13" s="12" t="n">
        <v>4.14285714285714</v>
      </c>
      <c r="V13" s="10"/>
    </row>
    <row r="14" customFormat="false" ht="15" hidden="false" customHeight="false" outlineLevel="0" collapsed="false">
      <c r="A14" s="14" t="s">
        <v>21</v>
      </c>
      <c r="B14" s="22"/>
      <c r="O14" s="11" t="s">
        <v>36</v>
      </c>
      <c r="P14" s="12" t="n">
        <v>5.30434782608696</v>
      </c>
      <c r="Q14" s="12" t="n">
        <v>2.13333333333333</v>
      </c>
      <c r="R14" s="12" t="n">
        <v>1.55555555555556</v>
      </c>
      <c r="S14" s="12" t="n">
        <v>2.6</v>
      </c>
      <c r="T14" s="12" t="n">
        <v>2</v>
      </c>
      <c r="U14" s="12" t="n">
        <v>2.8</v>
      </c>
      <c r="V14" s="10"/>
    </row>
    <row r="15" customFormat="false" ht="15" hidden="false" customHeight="false" outlineLevel="0" collapsed="false">
      <c r="A15" s="14" t="s">
        <v>20</v>
      </c>
      <c r="B15" s="22"/>
      <c r="O15" s="11" t="s">
        <v>37</v>
      </c>
      <c r="P15" s="12" t="n">
        <v>2.4</v>
      </c>
      <c r="Q15" s="12" t="n">
        <v>1.33333333333333</v>
      </c>
      <c r="R15" s="12" t="n">
        <v>1.625</v>
      </c>
      <c r="S15" s="12" t="n">
        <v>2</v>
      </c>
      <c r="T15" s="12" t="n">
        <v>1.28571428571429</v>
      </c>
      <c r="U15" s="12" t="n">
        <v>2.14285714285714</v>
      </c>
      <c r="V15" s="10"/>
    </row>
    <row r="16" customFormat="false" ht="15" hidden="false" customHeight="false" outlineLevel="0" collapsed="false">
      <c r="A16" s="14" t="s">
        <v>19</v>
      </c>
      <c r="B16" s="22"/>
      <c r="O16" s="11" t="s">
        <v>38</v>
      </c>
      <c r="P16" s="12" t="n">
        <v>2.63157894736842</v>
      </c>
      <c r="Q16" s="12" t="n">
        <v>1.71428571428571</v>
      </c>
      <c r="R16" s="12" t="n">
        <v>2.4</v>
      </c>
      <c r="S16" s="12" t="n">
        <v>2.16666666666667</v>
      </c>
      <c r="T16" s="12" t="n">
        <v>1.66666666666667</v>
      </c>
      <c r="U16" s="12" t="n">
        <v>1.6</v>
      </c>
      <c r="V16" s="10"/>
    </row>
    <row r="17" customFormat="false" ht="15" hidden="false" customHeight="false" outlineLevel="0" collapsed="false">
      <c r="A17" s="14" t="s">
        <v>12</v>
      </c>
      <c r="B17" s="23"/>
      <c r="O17" s="11" t="s">
        <v>39</v>
      </c>
      <c r="P17" s="12" t="n">
        <v>3.4375</v>
      </c>
      <c r="Q17" s="12" t="n">
        <v>2.89473684210526</v>
      </c>
      <c r="R17" s="12" t="n">
        <v>1.63636363636364</v>
      </c>
      <c r="S17" s="12" t="n">
        <v>1.875</v>
      </c>
      <c r="T17" s="12" t="n">
        <v>2.25</v>
      </c>
      <c r="U17" s="12" t="n">
        <v>2.71428571428571</v>
      </c>
    </row>
    <row r="18" customFormat="false" ht="15" hidden="false" customHeight="false" outlineLevel="0" collapsed="false">
      <c r="A18" s="18" t="s">
        <v>40</v>
      </c>
      <c r="B18" s="24"/>
    </row>
    <row r="22" customFormat="false" ht="15" hidden="false" customHeight="false" outlineLevel="0" collapsed="false">
      <c r="A22" s="5" t="s">
        <v>2</v>
      </c>
      <c r="B22" s="25" t="s">
        <v>4</v>
      </c>
      <c r="C22" s="6" t="s">
        <v>41</v>
      </c>
    </row>
    <row r="23" customFormat="false" ht="15" hidden="false" customHeight="false" outlineLevel="0" collapsed="false">
      <c r="A23" s="8" t="s">
        <v>23</v>
      </c>
      <c r="B23" s="26"/>
      <c r="C23" s="21"/>
    </row>
    <row r="24" customFormat="false" ht="15" hidden="false" customHeight="false" outlineLevel="0" collapsed="false">
      <c r="A24" s="14"/>
      <c r="B24" s="27" t="s">
        <v>17</v>
      </c>
      <c r="C24" s="22"/>
    </row>
    <row r="25" customFormat="false" ht="15" hidden="false" customHeight="false" outlineLevel="0" collapsed="false">
      <c r="A25" s="14"/>
      <c r="B25" s="27" t="s">
        <v>15</v>
      </c>
      <c r="C25" s="22"/>
    </row>
    <row r="26" customFormat="false" ht="15" hidden="false" customHeight="false" outlineLevel="0" collapsed="false">
      <c r="A26" s="14"/>
      <c r="B26" s="27" t="s">
        <v>13</v>
      </c>
      <c r="C26" s="22"/>
    </row>
    <row r="27" customFormat="false" ht="15" hidden="false" customHeight="false" outlineLevel="0" collapsed="false">
      <c r="A27" s="14"/>
      <c r="B27" s="27" t="s">
        <v>18</v>
      </c>
      <c r="C27" s="22"/>
    </row>
    <row r="28" customFormat="false" ht="15" hidden="false" customHeight="false" outlineLevel="0" collapsed="false">
      <c r="A28" s="14"/>
      <c r="B28" s="27" t="s">
        <v>14</v>
      </c>
      <c r="C28" s="22"/>
    </row>
    <row r="29" customFormat="false" ht="15" hidden="false" customHeight="false" outlineLevel="0" collapsed="false">
      <c r="A29" s="28"/>
      <c r="B29" s="29" t="s">
        <v>16</v>
      </c>
      <c r="C29" s="23"/>
    </row>
    <row r="30" customFormat="false" ht="15" hidden="false" customHeight="false" outlineLevel="0" collapsed="false">
      <c r="A30" s="8" t="s">
        <v>22</v>
      </c>
      <c r="B30" s="26"/>
      <c r="C30" s="21"/>
    </row>
    <row r="31" customFormat="false" ht="15" hidden="false" customHeight="false" outlineLevel="0" collapsed="false">
      <c r="A31" s="14"/>
      <c r="B31" s="27" t="s">
        <v>17</v>
      </c>
      <c r="C31" s="22"/>
    </row>
    <row r="32" customFormat="false" ht="15" hidden="false" customHeight="false" outlineLevel="0" collapsed="false">
      <c r="A32" s="14"/>
      <c r="B32" s="27" t="s">
        <v>15</v>
      </c>
      <c r="C32" s="22"/>
    </row>
    <row r="33" customFormat="false" ht="15" hidden="false" customHeight="false" outlineLevel="0" collapsed="false">
      <c r="A33" s="14"/>
      <c r="B33" s="27" t="s">
        <v>13</v>
      </c>
      <c r="C33" s="22"/>
    </row>
    <row r="34" customFormat="false" ht="15" hidden="false" customHeight="false" outlineLevel="0" collapsed="false">
      <c r="A34" s="14"/>
      <c r="B34" s="27" t="s">
        <v>18</v>
      </c>
      <c r="C34" s="22"/>
    </row>
    <row r="35" customFormat="false" ht="15" hidden="false" customHeight="false" outlineLevel="0" collapsed="false">
      <c r="A35" s="14"/>
      <c r="B35" s="27" t="s">
        <v>14</v>
      </c>
      <c r="C35" s="22"/>
    </row>
    <row r="36" customFormat="false" ht="15" hidden="false" customHeight="false" outlineLevel="0" collapsed="false">
      <c r="A36" s="28"/>
      <c r="B36" s="29" t="s">
        <v>16</v>
      </c>
      <c r="C36" s="23"/>
    </row>
    <row r="37" customFormat="false" ht="15" hidden="false" customHeight="false" outlineLevel="0" collapsed="false">
      <c r="A37" s="8" t="s">
        <v>21</v>
      </c>
      <c r="B37" s="26"/>
      <c r="C37" s="21"/>
    </row>
    <row r="38" customFormat="false" ht="15" hidden="false" customHeight="false" outlineLevel="0" collapsed="false">
      <c r="A38" s="14"/>
      <c r="B38" s="27" t="s">
        <v>17</v>
      </c>
      <c r="C38" s="22"/>
    </row>
    <row r="39" customFormat="false" ht="15" hidden="false" customHeight="false" outlineLevel="0" collapsed="false">
      <c r="A39" s="14"/>
      <c r="B39" s="27" t="s">
        <v>15</v>
      </c>
      <c r="C39" s="22"/>
    </row>
    <row r="40" customFormat="false" ht="15" hidden="false" customHeight="false" outlineLevel="0" collapsed="false">
      <c r="A40" s="14"/>
      <c r="B40" s="27" t="s">
        <v>13</v>
      </c>
      <c r="C40" s="22"/>
    </row>
    <row r="41" customFormat="false" ht="15" hidden="false" customHeight="false" outlineLevel="0" collapsed="false">
      <c r="A41" s="14"/>
      <c r="B41" s="27" t="s">
        <v>18</v>
      </c>
      <c r="C41" s="22"/>
    </row>
    <row r="42" customFormat="false" ht="15" hidden="false" customHeight="false" outlineLevel="0" collapsed="false">
      <c r="A42" s="14"/>
      <c r="B42" s="27" t="s">
        <v>14</v>
      </c>
      <c r="C42" s="22"/>
    </row>
    <row r="43" customFormat="false" ht="15" hidden="false" customHeight="false" outlineLevel="0" collapsed="false">
      <c r="A43" s="28"/>
      <c r="B43" s="29" t="s">
        <v>16</v>
      </c>
      <c r="C43" s="23"/>
    </row>
    <row r="44" customFormat="false" ht="15" hidden="false" customHeight="false" outlineLevel="0" collapsed="false">
      <c r="A44" s="8" t="s">
        <v>20</v>
      </c>
      <c r="B44" s="26"/>
      <c r="C44" s="21"/>
    </row>
    <row r="45" customFormat="false" ht="15" hidden="false" customHeight="false" outlineLevel="0" collapsed="false">
      <c r="A45" s="14"/>
      <c r="B45" s="27" t="s">
        <v>17</v>
      </c>
      <c r="C45" s="22"/>
    </row>
    <row r="46" customFormat="false" ht="15" hidden="false" customHeight="false" outlineLevel="0" collapsed="false">
      <c r="A46" s="14"/>
      <c r="B46" s="27" t="s">
        <v>15</v>
      </c>
      <c r="C46" s="22"/>
    </row>
    <row r="47" customFormat="false" ht="15" hidden="false" customHeight="false" outlineLevel="0" collapsed="false">
      <c r="A47" s="14"/>
      <c r="B47" s="27" t="s">
        <v>13</v>
      </c>
      <c r="C47" s="22"/>
    </row>
    <row r="48" customFormat="false" ht="15" hidden="false" customHeight="false" outlineLevel="0" collapsed="false">
      <c r="A48" s="14"/>
      <c r="B48" s="27" t="s">
        <v>18</v>
      </c>
      <c r="C48" s="22"/>
    </row>
    <row r="49" customFormat="false" ht="15" hidden="false" customHeight="false" outlineLevel="0" collapsed="false">
      <c r="A49" s="14"/>
      <c r="B49" s="27" t="s">
        <v>14</v>
      </c>
      <c r="C49" s="22"/>
    </row>
    <row r="50" customFormat="false" ht="15" hidden="false" customHeight="false" outlineLevel="0" collapsed="false">
      <c r="A50" s="28"/>
      <c r="B50" s="29" t="s">
        <v>16</v>
      </c>
      <c r="C50" s="23"/>
    </row>
    <row r="51" customFormat="false" ht="15" hidden="false" customHeight="false" outlineLevel="0" collapsed="false">
      <c r="A51" s="8" t="s">
        <v>19</v>
      </c>
      <c r="B51" s="26"/>
      <c r="C51" s="21"/>
    </row>
    <row r="52" customFormat="false" ht="15" hidden="false" customHeight="false" outlineLevel="0" collapsed="false">
      <c r="A52" s="14"/>
      <c r="B52" s="27" t="s">
        <v>17</v>
      </c>
      <c r="C52" s="22"/>
    </row>
    <row r="53" customFormat="false" ht="15" hidden="false" customHeight="false" outlineLevel="0" collapsed="false">
      <c r="A53" s="14"/>
      <c r="B53" s="27" t="s">
        <v>15</v>
      </c>
      <c r="C53" s="22"/>
    </row>
    <row r="54" customFormat="false" ht="15" hidden="false" customHeight="false" outlineLevel="0" collapsed="false">
      <c r="A54" s="14"/>
      <c r="B54" s="27" t="s">
        <v>13</v>
      </c>
      <c r="C54" s="22"/>
    </row>
    <row r="55" customFormat="false" ht="15" hidden="false" customHeight="false" outlineLevel="0" collapsed="false">
      <c r="A55" s="14"/>
      <c r="B55" s="27" t="s">
        <v>18</v>
      </c>
      <c r="C55" s="22"/>
    </row>
    <row r="56" customFormat="false" ht="15" hidden="false" customHeight="false" outlineLevel="0" collapsed="false">
      <c r="A56" s="14"/>
      <c r="B56" s="27" t="s">
        <v>14</v>
      </c>
      <c r="C56" s="22"/>
    </row>
    <row r="57" customFormat="false" ht="15" hidden="false" customHeight="false" outlineLevel="0" collapsed="false">
      <c r="A57" s="28"/>
      <c r="B57" s="29" t="s">
        <v>16</v>
      </c>
      <c r="C57" s="23"/>
    </row>
    <row r="58" customFormat="false" ht="15" hidden="false" customHeight="false" outlineLevel="0" collapsed="false">
      <c r="A58" s="8" t="s">
        <v>12</v>
      </c>
      <c r="B58" s="26"/>
      <c r="C58" s="21"/>
    </row>
    <row r="59" customFormat="false" ht="15" hidden="false" customHeight="false" outlineLevel="0" collapsed="false">
      <c r="A59" s="14"/>
      <c r="B59" s="27" t="s">
        <v>17</v>
      </c>
      <c r="C59" s="22"/>
    </row>
    <row r="60" customFormat="false" ht="15" hidden="false" customHeight="false" outlineLevel="0" collapsed="false">
      <c r="A60" s="14"/>
      <c r="B60" s="27" t="s">
        <v>15</v>
      </c>
      <c r="C60" s="22"/>
    </row>
    <row r="61" customFormat="false" ht="15" hidden="false" customHeight="false" outlineLevel="0" collapsed="false">
      <c r="A61" s="14"/>
      <c r="B61" s="27" t="s">
        <v>13</v>
      </c>
      <c r="C61" s="22"/>
    </row>
    <row r="62" customFormat="false" ht="15" hidden="false" customHeight="false" outlineLevel="0" collapsed="false">
      <c r="A62" s="14"/>
      <c r="B62" s="27" t="s">
        <v>18</v>
      </c>
      <c r="C62" s="22"/>
    </row>
    <row r="63" customFormat="false" ht="15" hidden="false" customHeight="false" outlineLevel="0" collapsed="false">
      <c r="A63" s="14"/>
      <c r="B63" s="27" t="s">
        <v>14</v>
      </c>
      <c r="C63" s="22"/>
    </row>
    <row r="64" customFormat="false" ht="15" hidden="false" customHeight="false" outlineLevel="0" collapsed="false">
      <c r="A64" s="28"/>
      <c r="B64" s="29" t="s">
        <v>16</v>
      </c>
      <c r="C64" s="23"/>
    </row>
    <row r="65" customFormat="false" ht="15" hidden="false" customHeight="false" outlineLevel="0" collapsed="false">
      <c r="A65" s="30" t="s">
        <v>40</v>
      </c>
      <c r="B65" s="31"/>
      <c r="C65" s="24"/>
    </row>
    <row r="68" customFormat="false" ht="15" hidden="false" customHeight="false" outlineLevel="0" collapsed="false">
      <c r="A68" s="32"/>
      <c r="B68" s="25" t="s">
        <v>42</v>
      </c>
      <c r="C68" s="33"/>
      <c r="D68" s="33"/>
      <c r="E68" s="33"/>
      <c r="F68" s="33"/>
      <c r="G68" s="34"/>
    </row>
    <row r="69" customFormat="false" ht="15" hidden="false" customHeight="false" outlineLevel="0" collapsed="false">
      <c r="A69" s="35" t="s">
        <v>2</v>
      </c>
      <c r="B69" s="36" t="s">
        <v>43</v>
      </c>
      <c r="C69" s="37" t="s">
        <v>44</v>
      </c>
      <c r="D69" s="37" t="s">
        <v>45</v>
      </c>
      <c r="E69" s="37" t="s">
        <v>46</v>
      </c>
      <c r="F69" s="37" t="s">
        <v>47</v>
      </c>
      <c r="G69" s="38" t="s">
        <v>48</v>
      </c>
    </row>
    <row r="70" customFormat="false" ht="15" hidden="false" customHeight="false" outlineLevel="0" collapsed="false">
      <c r="A70" s="8" t="s">
        <v>23</v>
      </c>
      <c r="B70" s="39" t="n">
        <v>1</v>
      </c>
      <c r="C70" s="40" t="n">
        <v>244</v>
      </c>
      <c r="D70" s="40" t="n">
        <v>95</v>
      </c>
      <c r="E70" s="40" t="n">
        <v>43</v>
      </c>
      <c r="F70" s="40" t="n">
        <v>32</v>
      </c>
      <c r="G70" s="41" t="n">
        <v>44</v>
      </c>
      <c r="H70" s="0" t="s">
        <v>27</v>
      </c>
      <c r="I70" s="42" t="s">
        <v>25</v>
      </c>
      <c r="J70" s="0" t="s">
        <v>49</v>
      </c>
      <c r="K70" s="1" t="s">
        <v>50</v>
      </c>
    </row>
    <row r="71" customFormat="false" ht="15" hidden="false" customHeight="false" outlineLevel="0" collapsed="false">
      <c r="A71" s="14" t="s">
        <v>22</v>
      </c>
      <c r="B71" s="43" t="n">
        <v>5</v>
      </c>
      <c r="C71" s="44" t="n">
        <v>197</v>
      </c>
      <c r="D71" s="44" t="n">
        <v>56</v>
      </c>
      <c r="E71" s="44" t="n">
        <v>38</v>
      </c>
      <c r="F71" s="44" t="n">
        <v>28</v>
      </c>
      <c r="G71" s="45" t="n">
        <v>27</v>
      </c>
      <c r="H71" s="1" t="n">
        <f aca="false">SUM(C71:G71)</f>
        <v>346</v>
      </c>
      <c r="I71" s="46" t="n">
        <v>0</v>
      </c>
      <c r="J71" s="0" t="s">
        <v>51</v>
      </c>
      <c r="K71" s="1" t="e">
        <f aca="false">GETPIVOTDATA("Suma de 0 - 0,25",$A$68,"Mes","Febrero","Parcela",1)+GETPIVOTDATA("Suma de 0,25 - 0,50",$A$68,"Mes","Febrero","Parcela",1)</f>
        <v>#REF!</v>
      </c>
    </row>
    <row r="72" customFormat="false" ht="15" hidden="false" customHeight="false" outlineLevel="0" collapsed="false">
      <c r="A72" s="14" t="s">
        <v>21</v>
      </c>
      <c r="B72" s="43" t="n">
        <v>29</v>
      </c>
      <c r="C72" s="44" t="n">
        <v>122</v>
      </c>
      <c r="D72" s="44" t="n">
        <v>32</v>
      </c>
      <c r="E72" s="44" t="n">
        <v>14</v>
      </c>
      <c r="F72" s="44" t="n">
        <v>13</v>
      </c>
      <c r="G72" s="45" t="n">
        <v>20</v>
      </c>
      <c r="H72" s="1" t="n">
        <f aca="false">SUM(C72:G72)</f>
        <v>201</v>
      </c>
      <c r="I72" s="46" t="n">
        <v>1</v>
      </c>
      <c r="J72" s="0" t="s">
        <v>51</v>
      </c>
      <c r="K72" s="1" t="e">
        <f aca="false">GETPIVOTDATA("Suma de 0 - 0,25",$A$68,"Mes","Febrero","Parcela",2)+GETPIVOTDATA("Suma de 0,25 - 0,50",$A$68,"Mes","Febrero","Parcela",2)</f>
        <v>#REF!</v>
      </c>
    </row>
    <row r="73" customFormat="false" ht="15" hidden="false" customHeight="false" outlineLevel="0" collapsed="false">
      <c r="A73" s="14" t="s">
        <v>20</v>
      </c>
      <c r="B73" s="43" t="n">
        <v>19</v>
      </c>
      <c r="C73" s="44" t="n">
        <v>12</v>
      </c>
      <c r="D73" s="44" t="n">
        <v>4</v>
      </c>
      <c r="E73" s="44" t="n">
        <v>13</v>
      </c>
      <c r="F73" s="44" t="n">
        <v>14</v>
      </c>
      <c r="G73" s="45" t="n">
        <v>9</v>
      </c>
      <c r="H73" s="1" t="n">
        <f aca="false">SUM(C73:G73)</f>
        <v>52</v>
      </c>
      <c r="I73" s="46" t="n">
        <v>0</v>
      </c>
      <c r="J73" s="0" t="s">
        <v>51</v>
      </c>
      <c r="K73" s="1" t="n">
        <v>32</v>
      </c>
    </row>
    <row r="74" customFormat="false" ht="15" hidden="false" customHeight="false" outlineLevel="0" collapsed="false">
      <c r="A74" s="14" t="s">
        <v>19</v>
      </c>
      <c r="B74" s="43" t="n">
        <v>18</v>
      </c>
      <c r="C74" s="44" t="n">
        <v>50</v>
      </c>
      <c r="D74" s="44" t="n">
        <v>12</v>
      </c>
      <c r="E74" s="44" t="n">
        <v>12</v>
      </c>
      <c r="F74" s="44" t="n">
        <v>13</v>
      </c>
      <c r="G74" s="45" t="n">
        <v>5</v>
      </c>
      <c r="H74" s="1" t="n">
        <f aca="false">SUM(C74:G74)</f>
        <v>92</v>
      </c>
      <c r="I74" s="46" t="n">
        <v>0</v>
      </c>
      <c r="J74" s="0" t="s">
        <v>51</v>
      </c>
      <c r="K74" s="1" t="n">
        <v>27</v>
      </c>
    </row>
    <row r="75" customFormat="false" ht="15" hidden="false" customHeight="false" outlineLevel="0" collapsed="false">
      <c r="A75" s="14" t="s">
        <v>12</v>
      </c>
      <c r="B75" s="47" t="n">
        <v>2</v>
      </c>
      <c r="C75" s="48" t="n">
        <v>110</v>
      </c>
      <c r="D75" s="48" t="n">
        <v>55</v>
      </c>
      <c r="E75" s="48" t="n">
        <v>18</v>
      </c>
      <c r="F75" s="48" t="n">
        <v>15</v>
      </c>
      <c r="G75" s="49" t="n">
        <v>18</v>
      </c>
      <c r="H75" s="1" t="n">
        <f aca="false">SUM(C75:G75)</f>
        <v>216</v>
      </c>
      <c r="I75" s="46" t="n">
        <v>0</v>
      </c>
      <c r="J75" s="0" t="s">
        <v>51</v>
      </c>
      <c r="K75" s="1" t="n">
        <v>61</v>
      </c>
    </row>
    <row r="76" customFormat="false" ht="15" hidden="false" customHeight="false" outlineLevel="0" collapsed="false">
      <c r="A76" s="18" t="s">
        <v>40</v>
      </c>
      <c r="B76" s="50" t="n">
        <v>74</v>
      </c>
      <c r="C76" s="51" t="n">
        <v>735</v>
      </c>
      <c r="D76" s="51" t="n">
        <v>254</v>
      </c>
      <c r="E76" s="51" t="n">
        <v>138</v>
      </c>
      <c r="F76" s="51" t="n">
        <v>115</v>
      </c>
      <c r="G76" s="52" t="n">
        <v>123</v>
      </c>
      <c r="H76" s="1" t="n">
        <f aca="false">SUM(C76:G76)</f>
        <v>1365</v>
      </c>
      <c r="I76" s="46" t="n">
        <v>0</v>
      </c>
      <c r="J76" s="0" t="s">
        <v>51</v>
      </c>
      <c r="K76" s="1" t="n">
        <v>20</v>
      </c>
    </row>
    <row r="77" customFormat="false" ht="15" hidden="false" customHeight="false" outlineLevel="0" collapsed="false">
      <c r="H77" s="1" t="n">
        <f aca="false">SUM(C77:G77)</f>
        <v>0</v>
      </c>
      <c r="I77" s="46" t="n">
        <v>0</v>
      </c>
      <c r="J77" s="0" t="s">
        <v>51</v>
      </c>
      <c r="K77" s="1" t="n">
        <v>30</v>
      </c>
      <c r="L77" s="53" t="s">
        <v>52</v>
      </c>
    </row>
    <row r="78" customFormat="false" ht="15" hidden="false" customHeight="false" outlineLevel="0" collapsed="false">
      <c r="H78" s="1" t="n">
        <f aca="false">SUM(C78:G78)</f>
        <v>0</v>
      </c>
      <c r="I78" s="46" t="n">
        <v>0</v>
      </c>
      <c r="J78" s="0" t="s">
        <v>51</v>
      </c>
      <c r="K78" s="1" t="n">
        <v>41</v>
      </c>
      <c r="L78" s="0" t="s">
        <v>53</v>
      </c>
      <c r="M78" s="0" t="s">
        <v>54</v>
      </c>
      <c r="N78" s="0" t="s">
        <v>55</v>
      </c>
      <c r="O78" s="0" t="s">
        <v>56</v>
      </c>
      <c r="P78" s="0" t="s">
        <v>57</v>
      </c>
      <c r="Q78" s="0" t="s">
        <v>58</v>
      </c>
      <c r="R78" s="0" t="s">
        <v>59</v>
      </c>
      <c r="S78" s="0" t="s">
        <v>60</v>
      </c>
    </row>
    <row r="79" customFormat="false" ht="15" hidden="false" customHeight="false" outlineLevel="0" collapsed="false">
      <c r="H79" s="1" t="n">
        <f aca="false">SUM(C79:G79)</f>
        <v>0</v>
      </c>
      <c r="I79" s="46" t="n">
        <v>0</v>
      </c>
      <c r="J79" s="0" t="s">
        <v>51</v>
      </c>
      <c r="K79" s="1" t="n">
        <v>17</v>
      </c>
      <c r="L79" s="0" t="s">
        <v>61</v>
      </c>
      <c r="M79" s="0" t="s">
        <v>62</v>
      </c>
      <c r="N79" s="0" t="n">
        <v>10</v>
      </c>
      <c r="O79" s="0" t="n">
        <v>0.5</v>
      </c>
      <c r="P79" s="0" t="n">
        <v>0.85</v>
      </c>
      <c r="Q79" s="0" t="n">
        <v>5</v>
      </c>
      <c r="R79" s="0" t="n">
        <v>12.42</v>
      </c>
      <c r="S79" s="0" t="n">
        <v>0.0079</v>
      </c>
    </row>
    <row r="80" customFormat="false" ht="15" hidden="false" customHeight="false" outlineLevel="0" collapsed="false">
      <c r="H80" s="1" t="n">
        <f aca="false">SUM(C80:G80)</f>
        <v>0</v>
      </c>
      <c r="I80" s="46" t="n">
        <v>0</v>
      </c>
      <c r="J80" s="0" t="s">
        <v>51</v>
      </c>
      <c r="K80" s="1" t="n">
        <v>24</v>
      </c>
      <c r="L80" s="0" t="s">
        <v>61</v>
      </c>
      <c r="M80" s="0" t="s">
        <v>63</v>
      </c>
      <c r="N80" s="0" t="n">
        <v>10</v>
      </c>
      <c r="O80" s="0" t="n">
        <v>1.9</v>
      </c>
      <c r="P80" s="0" t="n">
        <v>2.23</v>
      </c>
      <c r="Q80" s="0" t="s">
        <v>64</v>
      </c>
      <c r="R80" s="0" t="s">
        <v>65</v>
      </c>
      <c r="S80" s="0" t="s">
        <v>66</v>
      </c>
      <c r="V80" s="53" t="s">
        <v>67</v>
      </c>
    </row>
    <row r="81" customFormat="false" ht="15" hidden="false" customHeight="false" outlineLevel="0" collapsed="false">
      <c r="H81" s="1"/>
      <c r="I81" s="54"/>
      <c r="L81" s="0" t="s">
        <v>61</v>
      </c>
      <c r="M81" s="0" t="s">
        <v>68</v>
      </c>
      <c r="N81" s="0" t="n">
        <v>10</v>
      </c>
      <c r="O81" s="0" t="n">
        <v>0.2</v>
      </c>
      <c r="P81" s="0" t="n">
        <v>0.42</v>
      </c>
      <c r="Q81" s="0" t="s">
        <v>64</v>
      </c>
      <c r="R81" s="0" t="s">
        <v>65</v>
      </c>
      <c r="S81" s="0" t="s">
        <v>66</v>
      </c>
      <c r="V81" s="0" t="s">
        <v>69</v>
      </c>
      <c r="W81" s="0" t="s">
        <v>55</v>
      </c>
      <c r="X81" s="0" t="s">
        <v>70</v>
      </c>
      <c r="Y81" s="0" t="s">
        <v>71</v>
      </c>
      <c r="Z81" s="0" t="s">
        <v>72</v>
      </c>
      <c r="AA81" s="0" t="s">
        <v>73</v>
      </c>
      <c r="AB81" s="0" t="s">
        <v>74</v>
      </c>
    </row>
    <row r="82" customFormat="false" ht="15" hidden="false" customHeight="false" outlineLevel="0" collapsed="false">
      <c r="H82" s="1" t="n">
        <f aca="false">SUM(C82:G82)</f>
        <v>0</v>
      </c>
      <c r="I82" s="46" t="n">
        <v>0</v>
      </c>
      <c r="J82" s="0" t="s">
        <v>75</v>
      </c>
      <c r="K82" s="1" t="n">
        <v>29</v>
      </c>
      <c r="L82" s="0" t="s">
        <v>61</v>
      </c>
      <c r="M82" s="0" t="s">
        <v>76</v>
      </c>
      <c r="N82" s="0" t="n">
        <v>10</v>
      </c>
      <c r="O82" s="0" t="n">
        <v>0.1</v>
      </c>
      <c r="P82" s="0" t="n">
        <v>0.32</v>
      </c>
      <c r="Q82" s="0" t="s">
        <v>64</v>
      </c>
      <c r="R82" s="0" t="s">
        <v>65</v>
      </c>
      <c r="S82" s="0" t="s">
        <v>66</v>
      </c>
      <c r="V82" s="0" t="s">
        <v>61</v>
      </c>
      <c r="W82" s="0" t="n">
        <v>60</v>
      </c>
      <c r="X82" s="0" t="n">
        <v>0.04</v>
      </c>
      <c r="Y82" s="0" t="n">
        <v>0.02</v>
      </c>
      <c r="Z82" s="0" t="n">
        <v>6.27</v>
      </c>
      <c r="AA82" s="0" t="n">
        <v>281.6</v>
      </c>
      <c r="AB82" s="0" t="n">
        <v>287.88</v>
      </c>
    </row>
    <row r="83" customFormat="false" ht="15" hidden="false" customHeight="false" outlineLevel="0" collapsed="false">
      <c r="H83" s="1" t="n">
        <f aca="false">SUM(C83:G83)</f>
        <v>0</v>
      </c>
      <c r="I83" s="46" t="n">
        <v>2</v>
      </c>
      <c r="J83" s="0" t="s">
        <v>75</v>
      </c>
      <c r="K83" s="1" t="n">
        <v>17</v>
      </c>
      <c r="L83" s="0" t="s">
        <v>61</v>
      </c>
      <c r="M83" s="0" t="s">
        <v>77</v>
      </c>
      <c r="N83" s="0" t="n">
        <v>10</v>
      </c>
      <c r="O83" s="0" t="n">
        <v>2.9</v>
      </c>
      <c r="P83" s="0" t="n">
        <v>4.79</v>
      </c>
      <c r="Q83" s="0" t="s">
        <v>64</v>
      </c>
      <c r="R83" s="0" t="s">
        <v>65</v>
      </c>
      <c r="S83" s="0" t="s">
        <v>66</v>
      </c>
    </row>
    <row r="84" customFormat="false" ht="15" hidden="false" customHeight="false" outlineLevel="0" collapsed="false">
      <c r="H84" s="1" t="n">
        <f aca="false">SUM(C84:G84)</f>
        <v>0</v>
      </c>
      <c r="I84" s="46" t="n">
        <v>0</v>
      </c>
      <c r="J84" s="0" t="s">
        <v>75</v>
      </c>
      <c r="K84" s="1" t="n">
        <v>28</v>
      </c>
      <c r="L84" s="0" t="s">
        <v>61</v>
      </c>
      <c r="M84" s="0" t="s">
        <v>78</v>
      </c>
      <c r="N84" s="0" t="n">
        <v>10</v>
      </c>
      <c r="O84" s="0" t="n">
        <v>1.8</v>
      </c>
      <c r="P84" s="0" t="n">
        <v>1.99</v>
      </c>
      <c r="Q84" s="0" t="s">
        <v>64</v>
      </c>
      <c r="R84" s="0" t="s">
        <v>65</v>
      </c>
      <c r="S84" s="0" t="s">
        <v>66</v>
      </c>
      <c r="V84" s="0" t="s">
        <v>79</v>
      </c>
    </row>
    <row r="85" customFormat="false" ht="15" hidden="false" customHeight="false" outlineLevel="0" collapsed="false">
      <c r="H85" s="1" t="n">
        <f aca="false">SUM(C85:G85)</f>
        <v>0</v>
      </c>
      <c r="I85" s="46" t="n">
        <v>0</v>
      </c>
      <c r="J85" s="0" t="s">
        <v>75</v>
      </c>
      <c r="K85" s="1" t="n">
        <v>28</v>
      </c>
      <c r="V85" s="0" t="s">
        <v>80</v>
      </c>
      <c r="W85" s="0" t="s">
        <v>81</v>
      </c>
      <c r="X85" s="0" t="s">
        <v>82</v>
      </c>
      <c r="Y85" s="0" t="s">
        <v>83</v>
      </c>
      <c r="Z85" s="0" t="s">
        <v>84</v>
      </c>
      <c r="AA85" s="0" t="s">
        <v>85</v>
      </c>
      <c r="AB85" s="0" t="s">
        <v>86</v>
      </c>
      <c r="AC85" s="0" t="s">
        <v>87</v>
      </c>
    </row>
    <row r="86" customFormat="false" ht="15" hidden="false" customHeight="false" outlineLevel="0" collapsed="false">
      <c r="H86" s="1" t="n">
        <f aca="false">SUM(C86:G86)</f>
        <v>0</v>
      </c>
      <c r="I86" s="46" t="n">
        <v>0</v>
      </c>
      <c r="J86" s="0" t="s">
        <v>75</v>
      </c>
      <c r="K86" s="1" t="n">
        <v>26</v>
      </c>
      <c r="L86" s="0" t="s">
        <v>88</v>
      </c>
      <c r="M86" s="0" t="s">
        <v>89</v>
      </c>
      <c r="N86" s="0" t="s">
        <v>64</v>
      </c>
      <c r="O86" s="0" t="s">
        <v>64</v>
      </c>
      <c r="V86" s="0" t="s">
        <v>90</v>
      </c>
      <c r="W86" s="0" t="n">
        <v>1.9</v>
      </c>
      <c r="X86" s="0" t="n">
        <v>0.54</v>
      </c>
      <c r="Y86" s="0" t="n">
        <v>0.81</v>
      </c>
      <c r="Z86" s="0" t="n">
        <v>2.99</v>
      </c>
      <c r="AA86" s="0" t="n">
        <v>3.49</v>
      </c>
      <c r="AB86" s="0" t="n">
        <v>0.0009</v>
      </c>
      <c r="AC86" s="0" t="s">
        <v>91</v>
      </c>
    </row>
    <row r="87" customFormat="false" ht="15" hidden="false" customHeight="false" outlineLevel="0" collapsed="false">
      <c r="H87" s="1" t="n">
        <f aca="false">SUM(C87:G87)</f>
        <v>0</v>
      </c>
      <c r="I87" s="46" t="n">
        <v>0</v>
      </c>
      <c r="J87" s="0" t="s">
        <v>75</v>
      </c>
      <c r="K87" s="1" t="n">
        <v>11</v>
      </c>
      <c r="L87" s="0" t="s">
        <v>76</v>
      </c>
      <c r="M87" s="0" t="n">
        <v>20.15</v>
      </c>
      <c r="N87" s="0" t="s">
        <v>92</v>
      </c>
      <c r="O87" s="0" t="s">
        <v>64</v>
      </c>
      <c r="V87" s="0" t="s">
        <v>93</v>
      </c>
      <c r="W87" s="0" t="n">
        <v>-0.03</v>
      </c>
      <c r="X87" s="0" t="n">
        <v>0.02</v>
      </c>
      <c r="Y87" s="0" t="n">
        <v>-0.07</v>
      </c>
      <c r="Z87" s="0" t="n">
        <v>0.01</v>
      </c>
      <c r="AA87" s="0" t="n">
        <v>-1.51</v>
      </c>
      <c r="AB87" s="0" t="n">
        <v>0.1377</v>
      </c>
      <c r="AC87" s="0" t="n">
        <v>3.24</v>
      </c>
    </row>
    <row r="88" customFormat="false" ht="15" hidden="false" customHeight="false" outlineLevel="0" collapsed="false">
      <c r="H88" s="1" t="n">
        <f aca="false">SUM(C88:G88)</f>
        <v>0</v>
      </c>
      <c r="I88" s="46" t="n">
        <v>2</v>
      </c>
      <c r="J88" s="0" t="s">
        <v>75</v>
      </c>
      <c r="K88" s="1" t="n">
        <v>29</v>
      </c>
      <c r="L88" s="0" t="s">
        <v>68</v>
      </c>
      <c r="M88" s="0" t="n">
        <v>22.3</v>
      </c>
      <c r="N88" s="0" t="s">
        <v>92</v>
      </c>
      <c r="O88" s="0" t="s">
        <v>64</v>
      </c>
    </row>
    <row r="89" customFormat="false" ht="15" hidden="false" customHeight="false" outlineLevel="0" collapsed="false">
      <c r="H89" s="1" t="n">
        <f aca="false">SUM(C89:G89)</f>
        <v>0</v>
      </c>
      <c r="I89" s="46" t="n">
        <v>1</v>
      </c>
      <c r="J89" s="0" t="s">
        <v>75</v>
      </c>
      <c r="K89" s="1" t="n">
        <v>19</v>
      </c>
      <c r="L89" s="0" t="s">
        <v>62</v>
      </c>
      <c r="M89" s="0" t="n">
        <v>26.35</v>
      </c>
      <c r="N89" s="0" t="s">
        <v>92</v>
      </c>
      <c r="O89" s="0" t="s">
        <v>94</v>
      </c>
      <c r="V89" s="0" t="s">
        <v>95</v>
      </c>
    </row>
    <row r="90" customFormat="false" ht="15" hidden="false" customHeight="false" outlineLevel="0" collapsed="false">
      <c r="H90" s="1" t="n">
        <f aca="false">SUM(C90:G90)</f>
        <v>0</v>
      </c>
      <c r="I90" s="46" t="n">
        <v>0</v>
      </c>
      <c r="J90" s="0" t="s">
        <v>75</v>
      </c>
      <c r="K90" s="1" t="n">
        <v>37</v>
      </c>
      <c r="L90" s="0" t="s">
        <v>77</v>
      </c>
      <c r="M90" s="0" t="n">
        <v>35.25</v>
      </c>
      <c r="N90" s="0" t="s">
        <v>92</v>
      </c>
      <c r="O90" s="0" t="s">
        <v>94</v>
      </c>
      <c r="V90" s="0" t="s">
        <v>96</v>
      </c>
      <c r="W90" s="0" t="s">
        <v>97</v>
      </c>
      <c r="X90" s="0" t="s">
        <v>58</v>
      </c>
      <c r="Y90" s="0" t="s">
        <v>98</v>
      </c>
      <c r="Z90" s="0" t="s">
        <v>99</v>
      </c>
      <c r="AA90" s="0" t="s">
        <v>86</v>
      </c>
    </row>
    <row r="91" customFormat="false" ht="15" hidden="false" customHeight="false" outlineLevel="0" collapsed="false">
      <c r="H91" s="1" t="n">
        <f aca="false">SUM(C91:G91)</f>
        <v>0</v>
      </c>
      <c r="I91" s="46" t="n">
        <v>0</v>
      </c>
      <c r="J91" s="0" t="s">
        <v>75</v>
      </c>
      <c r="K91" s="1" t="n">
        <v>29</v>
      </c>
      <c r="L91" s="0" t="s">
        <v>63</v>
      </c>
      <c r="M91" s="0" t="n">
        <v>38.15</v>
      </c>
      <c r="N91" s="0" t="s">
        <v>64</v>
      </c>
      <c r="O91" s="0" t="s">
        <v>94</v>
      </c>
      <c r="V91" s="0" t="s">
        <v>100</v>
      </c>
      <c r="W91" s="0" t="n">
        <v>13.56</v>
      </c>
      <c r="X91" s="0" t="n">
        <v>1</v>
      </c>
      <c r="Y91" s="0" t="n">
        <v>13.56</v>
      </c>
      <c r="Z91" s="0" t="n">
        <v>2.27</v>
      </c>
      <c r="AA91" s="0" t="n">
        <v>0.1377</v>
      </c>
    </row>
    <row r="92" customFormat="false" ht="15" hidden="false" customHeight="false" outlineLevel="0" collapsed="false">
      <c r="H92" s="1"/>
      <c r="I92" s="54"/>
      <c r="L92" s="0" t="s">
        <v>78</v>
      </c>
      <c r="M92" s="0" t="n">
        <v>40.8</v>
      </c>
      <c r="N92" s="0" t="s">
        <v>64</v>
      </c>
      <c r="O92" s="0" t="s">
        <v>94</v>
      </c>
      <c r="V92" s="0" t="s">
        <v>93</v>
      </c>
      <c r="W92" s="0" t="n">
        <v>13.56</v>
      </c>
      <c r="X92" s="0" t="n">
        <v>1</v>
      </c>
      <c r="Y92" s="0" t="n">
        <v>13.56</v>
      </c>
      <c r="Z92" s="0" t="n">
        <v>2.27</v>
      </c>
      <c r="AA92" s="0" t="n">
        <v>0.1377</v>
      </c>
    </row>
    <row r="93" customFormat="false" ht="15" hidden="false" customHeight="false" outlineLevel="0" collapsed="false">
      <c r="H93" s="1" t="n">
        <f aca="false">SUM(C93:G93)</f>
        <v>0</v>
      </c>
      <c r="I93" s="46" t="n">
        <v>0</v>
      </c>
      <c r="J93" s="0" t="s">
        <v>101</v>
      </c>
      <c r="K93" s="1" t="n">
        <v>9</v>
      </c>
      <c r="L93" s="0" t="s">
        <v>102</v>
      </c>
      <c r="V93" s="0" t="s">
        <v>103</v>
      </c>
      <c r="W93" s="0" t="n">
        <v>347.17</v>
      </c>
      <c r="X93" s="0" t="n">
        <v>58</v>
      </c>
      <c r="Y93" s="0" t="n">
        <v>5.99</v>
      </c>
      <c r="Z93" s="0" t="s">
        <v>104</v>
      </c>
      <c r="AA93" s="0" t="s">
        <v>105</v>
      </c>
    </row>
    <row r="94" customFormat="false" ht="15" hidden="false" customHeight="false" outlineLevel="0" collapsed="false">
      <c r="H94" s="1" t="n">
        <f aca="false">SUM(C94:G94)</f>
        <v>0</v>
      </c>
      <c r="I94" s="46" t="n">
        <v>0</v>
      </c>
      <c r="J94" s="0" t="s">
        <v>101</v>
      </c>
      <c r="K94" s="1" t="n">
        <v>10</v>
      </c>
      <c r="V94" s="0" t="s">
        <v>106</v>
      </c>
      <c r="W94" s="0" t="n">
        <v>360.73</v>
      </c>
      <c r="X94" s="0" t="n">
        <v>59</v>
      </c>
      <c r="Y94" s="0" t="s">
        <v>65</v>
      </c>
      <c r="Z94" s="0" t="s">
        <v>104</v>
      </c>
      <c r="AA94" s="0" t="s">
        <v>105</v>
      </c>
    </row>
    <row r="95" customFormat="false" ht="15" hidden="false" customHeight="false" outlineLevel="0" collapsed="false">
      <c r="H95" s="1" t="n">
        <f aca="false">SUM(C95:G95)</f>
        <v>0</v>
      </c>
      <c r="I95" s="46" t="n">
        <v>0</v>
      </c>
      <c r="J95" s="0" t="s">
        <v>101</v>
      </c>
      <c r="K95" s="1" t="n">
        <v>18</v>
      </c>
    </row>
    <row r="96" customFormat="false" ht="15" hidden="false" customHeight="false" outlineLevel="0" collapsed="false">
      <c r="H96" s="1" t="n">
        <f aca="false">SUM(C96:G96)</f>
        <v>0</v>
      </c>
      <c r="I96" s="46" t="n">
        <v>0</v>
      </c>
      <c r="J96" s="0" t="s">
        <v>101</v>
      </c>
      <c r="K96" s="1" t="n">
        <v>12</v>
      </c>
    </row>
    <row r="97" customFormat="false" ht="15" hidden="false" customHeight="false" outlineLevel="0" collapsed="false">
      <c r="H97" s="1" t="n">
        <f aca="false">SUM(C97:G97)</f>
        <v>0</v>
      </c>
      <c r="I97" s="46" t="n">
        <v>3</v>
      </c>
      <c r="J97" s="0" t="s">
        <v>101</v>
      </c>
      <c r="K97" s="1" t="n">
        <v>20</v>
      </c>
      <c r="L97" s="0" t="s">
        <v>107</v>
      </c>
      <c r="M97" s="0" t="s">
        <v>54</v>
      </c>
      <c r="N97" s="0" t="s">
        <v>55</v>
      </c>
      <c r="O97" s="0" t="s">
        <v>56</v>
      </c>
      <c r="P97" s="0" t="s">
        <v>108</v>
      </c>
      <c r="Q97" s="0" t="s">
        <v>58</v>
      </c>
      <c r="R97" s="0" t="s">
        <v>59</v>
      </c>
      <c r="S97" s="0" t="s">
        <v>109</v>
      </c>
      <c r="V97" s="53" t="s">
        <v>110</v>
      </c>
    </row>
    <row r="98" customFormat="false" ht="15" hidden="false" customHeight="false" outlineLevel="0" collapsed="false">
      <c r="H98" s="1" t="n">
        <f aca="false">SUM(C98:G98)</f>
        <v>0</v>
      </c>
      <c r="I98" s="46" t="n">
        <v>2</v>
      </c>
      <c r="J98" s="0" t="s">
        <v>101</v>
      </c>
      <c r="K98" s="1" t="n">
        <v>16</v>
      </c>
      <c r="L98" s="0" t="s">
        <v>93</v>
      </c>
      <c r="M98" s="0" t="s">
        <v>62</v>
      </c>
      <c r="N98" s="0" t="n">
        <v>10</v>
      </c>
      <c r="O98" s="0" t="n">
        <v>34.6</v>
      </c>
      <c r="P98" s="0" t="n">
        <v>8.46</v>
      </c>
      <c r="Q98" s="0" t="n">
        <v>5</v>
      </c>
      <c r="R98" s="0" t="n">
        <v>46.69</v>
      </c>
      <c r="S98" s="0" t="s">
        <v>111</v>
      </c>
      <c r="V98" s="0" t="s">
        <v>112</v>
      </c>
      <c r="W98" s="0" t="s">
        <v>55</v>
      </c>
      <c r="X98" s="0" t="s">
        <v>70</v>
      </c>
      <c r="Y98" s="0" t="s">
        <v>71</v>
      </c>
      <c r="Z98" s="0" t="s">
        <v>72</v>
      </c>
      <c r="AA98" s="0" t="s">
        <v>73</v>
      </c>
      <c r="AB98" s="0" t="s">
        <v>74</v>
      </c>
    </row>
    <row r="99" customFormat="false" ht="15" hidden="false" customHeight="false" outlineLevel="0" collapsed="false">
      <c r="H99" s="1" t="n">
        <f aca="false">SUM(C99:G99)</f>
        <v>0</v>
      </c>
      <c r="I99" s="46" t="n">
        <v>9</v>
      </c>
      <c r="J99" s="0" t="s">
        <v>101</v>
      </c>
      <c r="K99" s="1" t="n">
        <v>21</v>
      </c>
      <c r="L99" s="0" t="s">
        <v>93</v>
      </c>
      <c r="M99" s="0" t="s">
        <v>63</v>
      </c>
      <c r="N99" s="0" t="n">
        <v>10</v>
      </c>
      <c r="O99" s="0" t="n">
        <v>5.2</v>
      </c>
      <c r="P99" s="0" t="n">
        <v>3.65</v>
      </c>
      <c r="Q99" s="0" t="s">
        <v>64</v>
      </c>
      <c r="R99" s="0" t="s">
        <v>65</v>
      </c>
      <c r="S99" s="0" t="s">
        <v>105</v>
      </c>
      <c r="V99" s="0" t="s">
        <v>61</v>
      </c>
      <c r="W99" s="0" t="n">
        <v>60</v>
      </c>
      <c r="X99" s="0" t="n">
        <v>0.03</v>
      </c>
      <c r="Y99" s="0" t="n">
        <v>0.02</v>
      </c>
      <c r="Z99" s="0" t="n">
        <v>6.3</v>
      </c>
      <c r="AA99" s="0" t="n">
        <v>281.96</v>
      </c>
      <c r="AB99" s="0" t="n">
        <v>288.24</v>
      </c>
    </row>
    <row r="100" customFormat="false" ht="15" hidden="false" customHeight="false" outlineLevel="0" collapsed="false">
      <c r="H100" s="1" t="n">
        <f aca="false">SUM(C100:G100)</f>
        <v>0</v>
      </c>
      <c r="I100" s="46" t="n">
        <v>14</v>
      </c>
      <c r="J100" s="0" t="s">
        <v>101</v>
      </c>
      <c r="K100" s="1" t="n">
        <v>14</v>
      </c>
      <c r="L100" s="0" t="s">
        <v>93</v>
      </c>
      <c r="M100" s="0" t="s">
        <v>68</v>
      </c>
      <c r="N100" s="0" t="n">
        <v>10</v>
      </c>
      <c r="O100" s="0" t="n">
        <v>21.6</v>
      </c>
      <c r="P100" s="0" t="n">
        <v>9.66</v>
      </c>
      <c r="Q100" s="0" t="s">
        <v>64</v>
      </c>
      <c r="R100" s="0" t="s">
        <v>65</v>
      </c>
      <c r="S100" s="0" t="s">
        <v>105</v>
      </c>
    </row>
    <row r="101" customFormat="false" ht="15" hidden="false" customHeight="false" outlineLevel="0" collapsed="false">
      <c r="H101" s="1" t="n">
        <f aca="false">SUM(C101:G101)</f>
        <v>0</v>
      </c>
      <c r="I101" s="46" t="n">
        <v>1</v>
      </c>
      <c r="J101" s="0" t="s">
        <v>101</v>
      </c>
      <c r="K101" s="1" t="n">
        <v>18</v>
      </c>
      <c r="L101" s="0" t="s">
        <v>93</v>
      </c>
      <c r="M101" s="0" t="s">
        <v>76</v>
      </c>
      <c r="N101" s="0" t="n">
        <v>10</v>
      </c>
      <c r="O101" s="0" t="n">
        <v>45.8</v>
      </c>
      <c r="P101" s="0" t="n">
        <v>14.58</v>
      </c>
      <c r="Q101" s="0" t="s">
        <v>64</v>
      </c>
      <c r="R101" s="0" t="s">
        <v>65</v>
      </c>
      <c r="S101" s="0" t="s">
        <v>105</v>
      </c>
      <c r="V101" s="0" t="s">
        <v>79</v>
      </c>
    </row>
    <row r="102" customFormat="false" ht="15" hidden="false" customHeight="false" outlineLevel="0" collapsed="false">
      <c r="H102" s="1" t="n">
        <f aca="false">SUM(C102:G102)</f>
        <v>0</v>
      </c>
      <c r="I102" s="46" t="n">
        <v>0</v>
      </c>
      <c r="J102" s="0" t="s">
        <v>101</v>
      </c>
      <c r="K102" s="1" t="n">
        <v>16</v>
      </c>
      <c r="L102" s="0" t="s">
        <v>93</v>
      </c>
      <c r="M102" s="0" t="s">
        <v>77</v>
      </c>
      <c r="N102" s="0" t="n">
        <v>10</v>
      </c>
      <c r="O102" s="0" t="n">
        <v>20.1</v>
      </c>
      <c r="P102" s="0" t="n">
        <v>5.34</v>
      </c>
      <c r="Q102" s="0" t="s">
        <v>64</v>
      </c>
      <c r="R102" s="0" t="s">
        <v>65</v>
      </c>
      <c r="S102" s="0" t="s">
        <v>105</v>
      </c>
      <c r="V102" s="0" t="s">
        <v>113</v>
      </c>
      <c r="W102" s="0" t="s">
        <v>81</v>
      </c>
      <c r="X102" s="0" t="s">
        <v>82</v>
      </c>
      <c r="Y102" s="0" t="s">
        <v>83</v>
      </c>
      <c r="Z102" s="0" t="s">
        <v>84</v>
      </c>
      <c r="AA102" s="0" t="s">
        <v>85</v>
      </c>
      <c r="AB102" s="0" t="s">
        <v>86</v>
      </c>
      <c r="AC102" s="0" t="s">
        <v>87</v>
      </c>
    </row>
    <row r="103" customFormat="false" ht="15" hidden="false" customHeight="false" outlineLevel="0" collapsed="false">
      <c r="H103" s="1"/>
      <c r="I103" s="54"/>
      <c r="L103" s="0" t="s">
        <v>93</v>
      </c>
      <c r="M103" s="0" t="s">
        <v>78</v>
      </c>
      <c r="N103" s="0" t="n">
        <v>10</v>
      </c>
      <c r="O103" s="0" t="n">
        <v>9.2</v>
      </c>
      <c r="P103" s="0" t="n">
        <v>6.23</v>
      </c>
      <c r="Q103" s="0" t="s">
        <v>64</v>
      </c>
      <c r="R103" s="0" t="s">
        <v>65</v>
      </c>
      <c r="S103" s="0" t="s">
        <v>105</v>
      </c>
      <c r="V103" s="0" t="s">
        <v>114</v>
      </c>
      <c r="W103" s="0" t="n">
        <v>1.78</v>
      </c>
      <c r="X103" s="0" t="n">
        <v>0.51</v>
      </c>
      <c r="Y103" s="0" t="n">
        <v>0.76</v>
      </c>
      <c r="Z103" s="0" t="n">
        <v>2.8</v>
      </c>
      <c r="AA103" s="0" t="n">
        <v>3.5</v>
      </c>
      <c r="AB103" s="0" t="n">
        <v>0.0009</v>
      </c>
      <c r="AC103" s="0" t="s">
        <v>91</v>
      </c>
    </row>
    <row r="104" customFormat="false" ht="15" hidden="false" customHeight="false" outlineLevel="0" collapsed="false">
      <c r="H104" s="1" t="n">
        <f aca="false">SUM(C104:G104)</f>
        <v>0</v>
      </c>
      <c r="I104" s="46" t="n">
        <v>2</v>
      </c>
      <c r="J104" s="0" t="s">
        <v>115</v>
      </c>
      <c r="K104" s="1" t="n">
        <v>0</v>
      </c>
      <c r="V104" s="0" t="s">
        <v>116</v>
      </c>
      <c r="W104" s="0" t="n">
        <v>-0.03</v>
      </c>
      <c r="X104" s="0" t="n">
        <v>0.02</v>
      </c>
      <c r="Y104" s="0" t="n">
        <v>-0.08</v>
      </c>
      <c r="Z104" s="0" t="n">
        <v>0.02</v>
      </c>
      <c r="AA104" s="0" t="n">
        <v>-1.38</v>
      </c>
      <c r="AB104" s="0" t="n">
        <v>0.1727</v>
      </c>
      <c r="AC104" s="0" t="n">
        <v>2.89</v>
      </c>
    </row>
    <row r="105" customFormat="false" ht="15" hidden="false" customHeight="false" outlineLevel="0" collapsed="false">
      <c r="H105" s="1" t="n">
        <f aca="false">SUM(C105:G105)</f>
        <v>0</v>
      </c>
      <c r="I105" s="46" t="n">
        <v>2</v>
      </c>
      <c r="J105" s="0" t="s">
        <v>115</v>
      </c>
      <c r="K105" s="1" t="n">
        <v>2</v>
      </c>
      <c r="L105" s="0" t="s">
        <v>88</v>
      </c>
      <c r="M105" s="0" t="s">
        <v>89</v>
      </c>
      <c r="N105" s="0" t="s">
        <v>64</v>
      </c>
      <c r="O105" s="0" t="s">
        <v>64</v>
      </c>
      <c r="P105" s="0" t="s">
        <v>64</v>
      </c>
      <c r="Q105" s="0" t="s">
        <v>64</v>
      </c>
    </row>
    <row r="106" customFormat="false" ht="15" hidden="false" customHeight="false" outlineLevel="0" collapsed="false">
      <c r="H106" s="1" t="n">
        <f aca="false">SUM(C106:G106)</f>
        <v>0</v>
      </c>
      <c r="I106" s="46" t="n">
        <v>7</v>
      </c>
      <c r="J106" s="0" t="s">
        <v>115</v>
      </c>
      <c r="K106" s="1" t="n">
        <v>0</v>
      </c>
      <c r="L106" s="0" t="s">
        <v>63</v>
      </c>
      <c r="M106" s="0" t="n">
        <v>9</v>
      </c>
      <c r="N106" s="0" t="s">
        <v>92</v>
      </c>
      <c r="O106" s="0" t="s">
        <v>64</v>
      </c>
      <c r="P106" s="0" t="s">
        <v>64</v>
      </c>
      <c r="Q106" s="0" t="s">
        <v>64</v>
      </c>
      <c r="V106" s="0" t="s">
        <v>95</v>
      </c>
    </row>
    <row r="107" customFormat="false" ht="15" hidden="false" customHeight="false" outlineLevel="0" collapsed="false">
      <c r="H107" s="1" t="n">
        <f aca="false">SUM(C107:G107)</f>
        <v>0</v>
      </c>
      <c r="I107" s="46" t="n">
        <v>0</v>
      </c>
      <c r="J107" s="0" t="s">
        <v>115</v>
      </c>
      <c r="K107" s="1" t="n">
        <v>5</v>
      </c>
      <c r="L107" s="0" t="s">
        <v>78</v>
      </c>
      <c r="M107" s="0" t="n">
        <v>14.35</v>
      </c>
      <c r="N107" s="0" t="s">
        <v>92</v>
      </c>
      <c r="O107" s="0" t="s">
        <v>64</v>
      </c>
      <c r="P107" s="0" t="s">
        <v>64</v>
      </c>
      <c r="Q107" s="0" t="s">
        <v>64</v>
      </c>
      <c r="V107" s="0" t="s">
        <v>117</v>
      </c>
      <c r="W107" s="0" t="s">
        <v>97</v>
      </c>
      <c r="X107" s="0" t="s">
        <v>58</v>
      </c>
      <c r="Y107" s="0" t="s">
        <v>98</v>
      </c>
      <c r="Z107" s="0" t="s">
        <v>99</v>
      </c>
      <c r="AA107" s="0" t="s">
        <v>86</v>
      </c>
    </row>
    <row r="108" customFormat="false" ht="15" hidden="false" customHeight="false" outlineLevel="0" collapsed="false">
      <c r="H108" s="1" t="n">
        <f aca="false">SUM(C108:G108)</f>
        <v>0</v>
      </c>
      <c r="I108" s="46" t="n">
        <v>0</v>
      </c>
      <c r="J108" s="0" t="s">
        <v>115</v>
      </c>
      <c r="K108" s="1" t="n">
        <v>0</v>
      </c>
      <c r="L108" s="0" t="s">
        <v>77</v>
      </c>
      <c r="M108" s="0" t="n">
        <v>29.75</v>
      </c>
      <c r="N108" s="0" t="s">
        <v>64</v>
      </c>
      <c r="O108" s="0" t="s">
        <v>94</v>
      </c>
      <c r="P108" s="0" t="s">
        <v>64</v>
      </c>
      <c r="Q108" s="0" t="s">
        <v>64</v>
      </c>
      <c r="V108" s="0" t="s">
        <v>118</v>
      </c>
      <c r="W108" s="0" t="n">
        <v>11.48</v>
      </c>
      <c r="X108" s="0" t="n">
        <v>1</v>
      </c>
      <c r="Y108" s="0" t="n">
        <v>11.48</v>
      </c>
      <c r="Z108" s="0" t="n">
        <v>1.91</v>
      </c>
      <c r="AA108" s="0" t="n">
        <v>0.1727</v>
      </c>
    </row>
    <row r="109" customFormat="false" ht="15" hidden="false" customHeight="false" outlineLevel="0" collapsed="false">
      <c r="H109" s="1" t="n">
        <f aca="false">SUM(C109:G109)</f>
        <v>0</v>
      </c>
      <c r="I109" s="46" t="n">
        <v>4</v>
      </c>
      <c r="J109" s="0" t="s">
        <v>115</v>
      </c>
      <c r="K109" s="1" t="n">
        <v>0</v>
      </c>
      <c r="L109" s="0" t="s">
        <v>68</v>
      </c>
      <c r="M109" s="0" t="n">
        <v>32</v>
      </c>
      <c r="N109" s="0" t="s">
        <v>64</v>
      </c>
      <c r="O109" s="0" t="s">
        <v>94</v>
      </c>
      <c r="P109" s="0" t="s">
        <v>119</v>
      </c>
      <c r="Q109" s="0" t="s">
        <v>64</v>
      </c>
      <c r="V109" s="0" t="s">
        <v>116</v>
      </c>
      <c r="W109" s="0" t="n">
        <v>11.48</v>
      </c>
      <c r="X109" s="0" t="n">
        <v>1</v>
      </c>
      <c r="Y109" s="0" t="n">
        <v>11.48</v>
      </c>
      <c r="Z109" s="0" t="n">
        <v>1.91</v>
      </c>
      <c r="AA109" s="0" t="n">
        <v>0.1727</v>
      </c>
    </row>
    <row r="110" customFormat="false" ht="15" hidden="false" customHeight="false" outlineLevel="0" collapsed="false">
      <c r="H110" s="1" t="n">
        <f aca="false">SUM(C110:G110)</f>
        <v>0</v>
      </c>
      <c r="I110" s="46" t="n">
        <v>2</v>
      </c>
      <c r="J110" s="0" t="s">
        <v>115</v>
      </c>
      <c r="K110" s="1" t="n">
        <v>3</v>
      </c>
      <c r="L110" s="0" t="s">
        <v>62</v>
      </c>
      <c r="M110" s="0" t="n">
        <v>46</v>
      </c>
      <c r="N110" s="0" t="s">
        <v>64</v>
      </c>
      <c r="O110" s="0" t="s">
        <v>64</v>
      </c>
      <c r="P110" s="0" t="s">
        <v>119</v>
      </c>
      <c r="Q110" s="0" t="s">
        <v>120</v>
      </c>
      <c r="V110" s="0" t="s">
        <v>121</v>
      </c>
      <c r="W110" s="0" t="n">
        <v>349.26</v>
      </c>
      <c r="X110" s="0" t="n">
        <v>58</v>
      </c>
      <c r="Y110" s="0" t="n">
        <v>6.02</v>
      </c>
      <c r="Z110" s="0" t="s">
        <v>104</v>
      </c>
      <c r="AA110" s="0" t="s">
        <v>105</v>
      </c>
    </row>
    <row r="111" customFormat="false" ht="15" hidden="false" customHeight="false" outlineLevel="0" collapsed="false">
      <c r="H111" s="1" t="n">
        <f aca="false">SUM(C111:G111)</f>
        <v>0</v>
      </c>
      <c r="I111" s="46" t="n">
        <v>2</v>
      </c>
      <c r="J111" s="0" t="s">
        <v>115</v>
      </c>
      <c r="K111" s="1" t="n">
        <v>5</v>
      </c>
      <c r="L111" s="0" t="s">
        <v>76</v>
      </c>
      <c r="M111" s="0" t="n">
        <v>51.9</v>
      </c>
      <c r="N111" s="0" t="s">
        <v>64</v>
      </c>
      <c r="O111" s="0" t="s">
        <v>64</v>
      </c>
      <c r="P111" s="0" t="s">
        <v>64</v>
      </c>
      <c r="Q111" s="0" t="s">
        <v>120</v>
      </c>
      <c r="V111" s="0" t="s">
        <v>122</v>
      </c>
      <c r="W111" s="0" t="n">
        <v>360.73</v>
      </c>
      <c r="X111" s="0" t="n">
        <v>59</v>
      </c>
      <c r="Y111" s="0" t="s">
        <v>65</v>
      </c>
      <c r="Z111" s="0" t="s">
        <v>104</v>
      </c>
      <c r="AA111" s="0" t="s">
        <v>105</v>
      </c>
    </row>
    <row r="112" customFormat="false" ht="15" hidden="false" customHeight="false" outlineLevel="0" collapsed="false">
      <c r="H112" s="1" t="n">
        <f aca="false">SUM(C112:G112)</f>
        <v>0</v>
      </c>
      <c r="I112" s="46" t="n">
        <v>0</v>
      </c>
      <c r="J112" s="0" t="s">
        <v>115</v>
      </c>
      <c r="K112" s="1" t="n">
        <v>1</v>
      </c>
      <c r="L112" s="0" t="s">
        <v>102</v>
      </c>
    </row>
    <row r="113" customFormat="false" ht="15" hidden="false" customHeight="false" outlineLevel="0" collapsed="false">
      <c r="H113" s="1" t="n">
        <f aca="false">SUM(C113:G113)</f>
        <v>0</v>
      </c>
      <c r="I113" s="46" t="n">
        <v>0</v>
      </c>
      <c r="J113" s="0" t="s">
        <v>115</v>
      </c>
      <c r="K113" s="1" t="n">
        <v>0</v>
      </c>
    </row>
    <row r="114" customFormat="false" ht="15" hidden="false" customHeight="false" outlineLevel="0" collapsed="false">
      <c r="H114" s="1"/>
      <c r="I114" s="54"/>
    </row>
    <row r="115" customFormat="false" ht="15" hidden="false" customHeight="false" outlineLevel="0" collapsed="false">
      <c r="H115" s="1" t="n">
        <f aca="false">SUM(C115:G115)</f>
        <v>0</v>
      </c>
      <c r="I115" s="46" t="n">
        <v>7</v>
      </c>
      <c r="J115" s="0" t="s">
        <v>123</v>
      </c>
      <c r="K115" s="1" t="n">
        <v>15</v>
      </c>
    </row>
    <row r="116" customFormat="false" ht="15" hidden="false" customHeight="false" outlineLevel="0" collapsed="false">
      <c r="H116" s="1" t="n">
        <f aca="false">SUM(C116:G116)</f>
        <v>0</v>
      </c>
      <c r="I116" s="46" t="n">
        <v>1</v>
      </c>
      <c r="J116" s="0" t="s">
        <v>123</v>
      </c>
      <c r="K116" s="1" t="n">
        <v>5</v>
      </c>
    </row>
    <row r="117" customFormat="false" ht="15" hidden="false" customHeight="false" outlineLevel="0" collapsed="false">
      <c r="H117" s="1" t="n">
        <f aca="false">SUM(C117:G117)</f>
        <v>0</v>
      </c>
      <c r="I117" s="46" t="n">
        <v>2</v>
      </c>
      <c r="J117" s="0" t="s">
        <v>123</v>
      </c>
      <c r="K117" s="1" t="n">
        <v>10</v>
      </c>
    </row>
    <row r="118" customFormat="false" ht="15" hidden="false" customHeight="false" outlineLevel="0" collapsed="false">
      <c r="H118" s="1" t="n">
        <f aca="false">SUM(C118:G118)</f>
        <v>0</v>
      </c>
      <c r="I118" s="46" t="n">
        <v>1</v>
      </c>
      <c r="J118" s="0" t="s">
        <v>123</v>
      </c>
      <c r="K118" s="1" t="n">
        <v>5</v>
      </c>
    </row>
    <row r="119" customFormat="false" ht="15" hidden="false" customHeight="false" outlineLevel="0" collapsed="false">
      <c r="H119" s="1" t="n">
        <f aca="false">SUM(C119:G119)</f>
        <v>0</v>
      </c>
      <c r="I119" s="46" t="n">
        <v>2</v>
      </c>
      <c r="J119" s="0" t="s">
        <v>123</v>
      </c>
      <c r="K119" s="1" t="n">
        <v>3</v>
      </c>
    </row>
    <row r="120" customFormat="false" ht="15" hidden="false" customHeight="false" outlineLevel="0" collapsed="false">
      <c r="H120" s="1" t="n">
        <f aca="false">SUM(C120:G120)</f>
        <v>0</v>
      </c>
      <c r="I120" s="46" t="n">
        <v>0</v>
      </c>
      <c r="J120" s="0" t="s">
        <v>123</v>
      </c>
      <c r="K120" s="1" t="n">
        <v>7</v>
      </c>
    </row>
    <row r="121" customFormat="false" ht="15" hidden="false" customHeight="false" outlineLevel="0" collapsed="false">
      <c r="H121" s="1" t="n">
        <f aca="false">SUM(C121:G121)</f>
        <v>0</v>
      </c>
      <c r="I121" s="46" t="n">
        <v>2</v>
      </c>
      <c r="J121" s="0" t="s">
        <v>123</v>
      </c>
      <c r="K121" s="1" t="n">
        <v>3</v>
      </c>
    </row>
    <row r="122" customFormat="false" ht="15" hidden="false" customHeight="false" outlineLevel="0" collapsed="false">
      <c r="H122" s="1" t="n">
        <f aca="false">SUM(C122:G122)</f>
        <v>0</v>
      </c>
      <c r="I122" s="46" t="n">
        <v>2</v>
      </c>
      <c r="J122" s="0" t="s">
        <v>123</v>
      </c>
      <c r="K122" s="1" t="n">
        <v>9</v>
      </c>
    </row>
    <row r="123" customFormat="false" ht="15" hidden="false" customHeight="false" outlineLevel="0" collapsed="false">
      <c r="H123" s="1" t="n">
        <f aca="false">SUM(C123:G123)</f>
        <v>0</v>
      </c>
      <c r="I123" s="46" t="n">
        <v>1</v>
      </c>
      <c r="J123" s="0" t="s">
        <v>123</v>
      </c>
      <c r="K123" s="1" t="n">
        <v>0</v>
      </c>
    </row>
    <row r="124" customFormat="false" ht="15" hidden="false" customHeight="false" outlineLevel="0" collapsed="false">
      <c r="H124" s="1" t="n">
        <f aca="false">SUM(C124:G124)</f>
        <v>0</v>
      </c>
      <c r="I124" s="46" t="n">
        <v>0</v>
      </c>
      <c r="J124" s="0" t="s">
        <v>123</v>
      </c>
      <c r="K124" s="1" t="n">
        <v>5</v>
      </c>
    </row>
    <row r="125" customFormat="false" ht="15" hidden="false" customHeight="false" outlineLevel="0" collapsed="false">
      <c r="H125" s="1"/>
      <c r="I125" s="54"/>
    </row>
    <row r="126" customFormat="false" ht="15" hidden="false" customHeight="false" outlineLevel="0" collapsed="false">
      <c r="H126" s="1" t="n">
        <f aca="false">SUM(C126:G126)</f>
        <v>0</v>
      </c>
      <c r="I126" s="46" t="n">
        <v>0</v>
      </c>
      <c r="J126" s="0" t="s">
        <v>124</v>
      </c>
      <c r="K126" s="1" t="n">
        <v>25</v>
      </c>
    </row>
    <row r="127" customFormat="false" ht="15" hidden="false" customHeight="false" outlineLevel="0" collapsed="false">
      <c r="H127" s="1" t="n">
        <f aca="false">SUM(C127:G127)</f>
        <v>0</v>
      </c>
      <c r="I127" s="46" t="n">
        <v>0</v>
      </c>
      <c r="J127" s="0" t="s">
        <v>124</v>
      </c>
      <c r="K127" s="1" t="n">
        <v>14</v>
      </c>
    </row>
    <row r="128" customFormat="false" ht="15" hidden="false" customHeight="false" outlineLevel="0" collapsed="false">
      <c r="H128" s="1" t="n">
        <f aca="false">SUM(C128:G128)</f>
        <v>0</v>
      </c>
      <c r="I128" s="46" t="n">
        <v>1</v>
      </c>
      <c r="J128" s="0" t="s">
        <v>124</v>
      </c>
      <c r="K128" s="1" t="n">
        <v>18</v>
      </c>
    </row>
    <row r="129" customFormat="false" ht="15" hidden="false" customHeight="false" outlineLevel="0" collapsed="false">
      <c r="H129" s="1" t="n">
        <f aca="false">SUM(C129:G129)</f>
        <v>0</v>
      </c>
      <c r="I129" s="46" t="n">
        <v>0</v>
      </c>
      <c r="J129" s="0" t="s">
        <v>124</v>
      </c>
      <c r="K129" s="1" t="n">
        <v>5</v>
      </c>
    </row>
    <row r="130" customFormat="false" ht="15" hidden="false" customHeight="false" outlineLevel="0" collapsed="false">
      <c r="H130" s="1" t="n">
        <f aca="false">SUM(C130:G130)</f>
        <v>0</v>
      </c>
      <c r="I130" s="46" t="n">
        <v>1</v>
      </c>
      <c r="J130" s="0" t="s">
        <v>124</v>
      </c>
      <c r="K130" s="1" t="n">
        <v>15</v>
      </c>
    </row>
    <row r="131" customFormat="false" ht="15" hidden="false" customHeight="false" outlineLevel="0" collapsed="false">
      <c r="H131" s="1" t="n">
        <f aca="false">SUM(C131:G131)</f>
        <v>0</v>
      </c>
      <c r="I131" s="46" t="n">
        <v>0</v>
      </c>
      <c r="J131" s="0" t="s">
        <v>124</v>
      </c>
      <c r="K131" s="1" t="n">
        <v>15</v>
      </c>
    </row>
    <row r="132" customFormat="false" ht="15" hidden="false" customHeight="false" outlineLevel="0" collapsed="false">
      <c r="H132" s="1" t="n">
        <f aca="false">SUM(C132:G132)</f>
        <v>0</v>
      </c>
      <c r="I132" s="46" t="n">
        <v>0</v>
      </c>
      <c r="J132" s="0" t="s">
        <v>124</v>
      </c>
      <c r="K132" s="1" t="n">
        <v>9</v>
      </c>
    </row>
    <row r="133" customFormat="false" ht="15" hidden="false" customHeight="false" outlineLevel="0" collapsed="false">
      <c r="H133" s="1" t="n">
        <f aca="false">SUM(C133:G133)</f>
        <v>0</v>
      </c>
      <c r="I133" s="46" t="n">
        <v>0</v>
      </c>
      <c r="J133" s="0" t="s">
        <v>124</v>
      </c>
      <c r="K133" s="1" t="n">
        <v>22</v>
      </c>
    </row>
    <row r="134" customFormat="false" ht="15" hidden="false" customHeight="false" outlineLevel="0" collapsed="false">
      <c r="H134" s="1" t="n">
        <f aca="false">SUM(C134:G134)</f>
        <v>0</v>
      </c>
      <c r="I134" s="46" t="n">
        <v>0</v>
      </c>
      <c r="J134" s="0" t="s">
        <v>124</v>
      </c>
      <c r="K134" s="1" t="n">
        <v>10</v>
      </c>
    </row>
    <row r="135" customFormat="false" ht="15" hidden="false" customHeight="false" outlineLevel="0" collapsed="false">
      <c r="H135" s="1" t="n">
        <f aca="false">SUM(C135:G135)</f>
        <v>0</v>
      </c>
      <c r="I135" s="46" t="n">
        <v>0</v>
      </c>
      <c r="J135" s="0" t="s">
        <v>124</v>
      </c>
      <c r="K135" s="1" t="n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3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M5" activeCellId="0" sqref="M5"/>
    </sheetView>
  </sheetViews>
  <sheetFormatPr defaultColWidth="10.515625" defaultRowHeight="15" zeroHeight="false" outlineLevelRow="0" outlineLevelCol="0"/>
  <cols>
    <col collapsed="false" customWidth="true" hidden="false" outlineLevel="0" max="11" min="11" style="0" width="16"/>
    <col collapsed="false" customWidth="true" hidden="false" outlineLevel="0" max="14" min="12" style="0" width="14.15"/>
    <col collapsed="false" customWidth="true" hidden="false" outlineLevel="0" max="15" min="15" style="0" width="21.71"/>
    <col collapsed="false" customWidth="true" hidden="false" outlineLevel="0" max="16" min="16" style="0" width="14.15"/>
    <col collapsed="false" customWidth="true" hidden="false" outlineLevel="0" max="17" min="17" style="0" width="6.42"/>
    <col collapsed="false" customWidth="true" hidden="false" outlineLevel="0" max="19" min="18" style="0" width="15.15"/>
    <col collapsed="false" customWidth="true" hidden="false" outlineLevel="0" max="20" min="20" style="0" width="14.15"/>
    <col collapsed="false" customWidth="true" hidden="false" outlineLevel="0" max="21" min="21" style="0" width="14.01"/>
    <col collapsed="false" customWidth="true" hidden="false" outlineLevel="0" max="22" min="22" style="0" width="25.12"/>
    <col collapsed="false" customWidth="true" hidden="false" outlineLevel="0" max="23" min="23" style="0" width="19.42"/>
    <col collapsed="false" customWidth="true" hidden="false" outlineLevel="0" max="24" min="24" style="0" width="21.71"/>
    <col collapsed="false" customWidth="true" hidden="false" outlineLevel="0" max="26" min="25" style="0" width="19.42"/>
    <col collapsed="false" customWidth="true" hidden="false" outlineLevel="0" max="27" min="27" style="0" width="21.71"/>
    <col collapsed="false" customWidth="true" hidden="false" outlineLevel="0" max="29" min="28" style="0" width="14.15"/>
    <col collapsed="false" customWidth="true" hidden="false" outlineLevel="0" max="30" min="30" style="0" width="21.71"/>
    <col collapsed="false" customWidth="true" hidden="false" outlineLevel="0" max="32" min="31" style="0" width="14.15"/>
    <col collapsed="false" customWidth="true" hidden="false" outlineLevel="0" max="33" min="33" style="0" width="21.71"/>
    <col collapsed="false" customWidth="true" hidden="false" outlineLevel="0" max="35" min="34" style="0" width="14.15"/>
    <col collapsed="false" customWidth="true" hidden="false" outlineLevel="0" max="36" min="36" style="0" width="26.71"/>
    <col collapsed="false" customWidth="true" hidden="false" outlineLevel="0" max="38" min="37" style="0" width="19.14"/>
    <col collapsed="false" customWidth="true" hidden="false" outlineLevel="0" max="39" min="39" style="0" width="14.15"/>
    <col collapsed="false" customWidth="true" hidden="false" outlineLevel="0" max="40" min="40" style="0" width="21.71"/>
    <col collapsed="false" customWidth="true" hidden="false" outlineLevel="0" max="41" min="41" style="0" width="14.15"/>
    <col collapsed="false" customWidth="true" hidden="false" outlineLevel="0" max="42" min="42" style="0" width="21.71"/>
    <col collapsed="false" customWidth="true" hidden="false" outlineLevel="0" max="43" min="43" style="0" width="14.15"/>
    <col collapsed="false" customWidth="true" hidden="false" outlineLevel="0" max="44" min="44" style="0" width="21.71"/>
    <col collapsed="false" customWidth="true" hidden="false" outlineLevel="0" max="45" min="45" style="0" width="14.15"/>
    <col collapsed="false" customWidth="true" hidden="false" outlineLevel="0" max="46" min="46" style="0" width="21.71"/>
    <col collapsed="false" customWidth="true" hidden="false" outlineLevel="0" max="47" min="47" style="0" width="14.15"/>
    <col collapsed="false" customWidth="true" hidden="false" outlineLevel="0" max="48" min="48" style="0" width="23.15"/>
    <col collapsed="false" customWidth="true" hidden="false" outlineLevel="0" max="49" min="49" style="0" width="15.57"/>
    <col collapsed="false" customWidth="true" hidden="false" outlineLevel="0" max="50" min="50" style="0" width="21.71"/>
    <col collapsed="false" customWidth="true" hidden="false" outlineLevel="0" max="51" min="51" style="0" width="14.15"/>
    <col collapsed="false" customWidth="true" hidden="false" outlineLevel="0" max="52" min="52" style="0" width="21.71"/>
    <col collapsed="false" customWidth="true" hidden="false" outlineLevel="0" max="53" min="53" style="0" width="14.15"/>
    <col collapsed="false" customWidth="true" hidden="false" outlineLevel="0" max="54" min="54" style="0" width="21.71"/>
    <col collapsed="false" customWidth="true" hidden="false" outlineLevel="0" max="55" min="55" style="0" width="14.15"/>
    <col collapsed="false" customWidth="true" hidden="false" outlineLevel="0" max="56" min="56" style="0" width="21.71"/>
    <col collapsed="false" customWidth="true" hidden="false" outlineLevel="0" max="57" min="57" style="0" width="14.15"/>
    <col collapsed="false" customWidth="true" hidden="false" outlineLevel="0" max="58" min="58" style="0" width="21.71"/>
    <col collapsed="false" customWidth="true" hidden="false" outlineLevel="0" max="59" min="59" style="0" width="14.15"/>
    <col collapsed="false" customWidth="true" hidden="false" outlineLevel="0" max="60" min="60" style="0" width="21.71"/>
    <col collapsed="false" customWidth="true" hidden="false" outlineLevel="0" max="61" min="61" style="0" width="14.15"/>
    <col collapsed="false" customWidth="true" hidden="false" outlineLevel="0" max="62" min="62" style="0" width="23.15"/>
    <col collapsed="false" customWidth="true" hidden="false" outlineLevel="0" max="63" min="63" style="0" width="15.57"/>
    <col collapsed="false" customWidth="true" hidden="false" outlineLevel="0" max="64" min="64" style="0" width="21.71"/>
    <col collapsed="false" customWidth="true" hidden="false" outlineLevel="0" max="65" min="65" style="0" width="14.15"/>
    <col collapsed="false" customWidth="true" hidden="false" outlineLevel="0" max="66" min="66" style="0" width="21.71"/>
    <col collapsed="false" customWidth="true" hidden="false" outlineLevel="0" max="67" min="67" style="0" width="14.15"/>
    <col collapsed="false" customWidth="true" hidden="false" outlineLevel="0" max="68" min="68" style="0" width="21.71"/>
    <col collapsed="false" customWidth="true" hidden="false" outlineLevel="0" max="69" min="69" style="0" width="14.15"/>
    <col collapsed="false" customWidth="true" hidden="false" outlineLevel="0" max="70" min="70" style="0" width="21.71"/>
    <col collapsed="false" customWidth="true" hidden="false" outlineLevel="0" max="71" min="71" style="0" width="14.15"/>
    <col collapsed="false" customWidth="true" hidden="false" outlineLevel="0" max="72" min="72" style="0" width="21.71"/>
    <col collapsed="false" customWidth="true" hidden="false" outlineLevel="0" max="73" min="73" style="0" width="14.15"/>
    <col collapsed="false" customWidth="true" hidden="false" outlineLevel="0" max="74" min="74" style="0" width="23.15"/>
    <col collapsed="false" customWidth="true" hidden="false" outlineLevel="0" max="75" min="75" style="0" width="15.57"/>
    <col collapsed="false" customWidth="true" hidden="false" outlineLevel="0" max="76" min="76" style="0" width="21.71"/>
    <col collapsed="false" customWidth="true" hidden="false" outlineLevel="0" max="77" min="77" style="0" width="14.15"/>
    <col collapsed="false" customWidth="true" hidden="false" outlineLevel="0" max="78" min="78" style="0" width="21.71"/>
    <col collapsed="false" customWidth="true" hidden="false" outlineLevel="0" max="79" min="79" style="0" width="14.15"/>
    <col collapsed="false" customWidth="true" hidden="false" outlineLevel="0" max="80" min="80" style="0" width="21.71"/>
    <col collapsed="false" customWidth="true" hidden="false" outlineLevel="0" max="81" min="81" style="0" width="14.15"/>
    <col collapsed="false" customWidth="true" hidden="false" outlineLevel="0" max="82" min="82" style="0" width="21.71"/>
    <col collapsed="false" customWidth="true" hidden="false" outlineLevel="0" max="83" min="83" style="0" width="14.15"/>
    <col collapsed="false" customWidth="true" hidden="false" outlineLevel="0" max="84" min="84" style="0" width="23.15"/>
    <col collapsed="false" customWidth="true" hidden="false" outlineLevel="0" max="85" min="85" style="0" width="15.57"/>
    <col collapsed="false" customWidth="true" hidden="false" outlineLevel="0" max="86" min="86" style="0" width="21.71"/>
    <col collapsed="false" customWidth="true" hidden="false" outlineLevel="0" max="87" min="87" style="0" width="14.15"/>
    <col collapsed="false" customWidth="true" hidden="false" outlineLevel="0" max="88" min="88" style="0" width="21.71"/>
    <col collapsed="false" customWidth="true" hidden="false" outlineLevel="0" max="89" min="89" style="0" width="14.15"/>
    <col collapsed="false" customWidth="true" hidden="false" outlineLevel="0" max="90" min="90" style="0" width="21.71"/>
    <col collapsed="false" customWidth="true" hidden="false" outlineLevel="0" max="91" min="91" style="0" width="14.15"/>
    <col collapsed="false" customWidth="true" hidden="false" outlineLevel="0" max="92" min="92" style="0" width="21.71"/>
    <col collapsed="false" customWidth="true" hidden="false" outlineLevel="0" max="93" min="93" style="0" width="14.15"/>
    <col collapsed="false" customWidth="true" hidden="false" outlineLevel="0" max="94" min="94" style="0" width="23.15"/>
    <col collapsed="false" customWidth="true" hidden="false" outlineLevel="0" max="95" min="95" style="0" width="15.57"/>
    <col collapsed="false" customWidth="true" hidden="false" outlineLevel="0" max="96" min="96" style="0" width="21.71"/>
    <col collapsed="false" customWidth="true" hidden="false" outlineLevel="0" max="97" min="97" style="0" width="14.15"/>
    <col collapsed="false" customWidth="true" hidden="false" outlineLevel="0" max="98" min="98" style="0" width="21.71"/>
    <col collapsed="false" customWidth="true" hidden="false" outlineLevel="0" max="99" min="99" style="0" width="14.15"/>
    <col collapsed="false" customWidth="true" hidden="false" outlineLevel="0" max="100" min="100" style="0" width="21.71"/>
    <col collapsed="false" customWidth="true" hidden="false" outlineLevel="0" max="101" min="101" style="0" width="14.15"/>
    <col collapsed="false" customWidth="true" hidden="false" outlineLevel="0" max="102" min="102" style="0" width="23.15"/>
    <col collapsed="false" customWidth="true" hidden="false" outlineLevel="0" max="103" min="103" style="0" width="15.57"/>
    <col collapsed="false" customWidth="true" hidden="false" outlineLevel="0" max="104" min="104" style="0" width="21.71"/>
    <col collapsed="false" customWidth="true" hidden="false" outlineLevel="0" max="105" min="105" style="0" width="14.15"/>
    <col collapsed="false" customWidth="true" hidden="false" outlineLevel="0" max="106" min="106" style="0" width="24.15"/>
    <col collapsed="false" customWidth="true" hidden="false" outlineLevel="0" max="107" min="107" style="0" width="16.71"/>
    <col collapsed="false" customWidth="true" hidden="false" outlineLevel="0" max="108" min="108" style="0" width="21.71"/>
    <col collapsed="false" customWidth="true" hidden="false" outlineLevel="0" max="109" min="109" style="0" width="14.15"/>
    <col collapsed="false" customWidth="true" hidden="false" outlineLevel="0" max="110" min="110" style="0" width="24.15"/>
    <col collapsed="false" customWidth="true" hidden="false" outlineLevel="0" max="111" min="111" style="0" width="16.71"/>
    <col collapsed="false" customWidth="true" hidden="false" outlineLevel="0" max="112" min="112" style="0" width="26.71"/>
    <col collapsed="false" customWidth="true" hidden="false" outlineLevel="0" max="113" min="113" style="0" width="19.14"/>
    <col collapsed="false" customWidth="true" hidden="false" outlineLevel="0" max="114" min="114" style="0" width="2"/>
    <col collapsed="false" customWidth="true" hidden="false" outlineLevel="0" max="116" min="115" style="0" width="6.86"/>
    <col collapsed="false" customWidth="true" hidden="false" outlineLevel="0" max="117" min="117" style="0" width="3.86"/>
    <col collapsed="false" customWidth="true" hidden="false" outlineLevel="0" max="118" min="118" style="0" width="6.86"/>
    <col collapsed="false" customWidth="true" hidden="false" outlineLevel="0" max="119" min="119" style="0" width="3.86"/>
    <col collapsed="false" customWidth="true" hidden="false" outlineLevel="0" max="120" min="120" style="0" width="6.86"/>
    <col collapsed="false" customWidth="true" hidden="false" outlineLevel="0" max="121" min="121" style="0" width="3.86"/>
    <col collapsed="false" customWidth="true" hidden="false" outlineLevel="0" max="123" min="122" style="0" width="6.86"/>
    <col collapsed="false" customWidth="true" hidden="false" outlineLevel="0" max="124" min="124" style="0" width="3.86"/>
    <col collapsed="false" customWidth="true" hidden="false" outlineLevel="0" max="125" min="125" style="0" width="6.86"/>
    <col collapsed="false" customWidth="true" hidden="false" outlineLevel="0" max="126" min="126" style="0" width="3.86"/>
    <col collapsed="false" customWidth="true" hidden="false" outlineLevel="0" max="127" min="127" style="0" width="6.86"/>
    <col collapsed="false" customWidth="true" hidden="false" outlineLevel="0" max="128" min="128" style="0" width="3.86"/>
    <col collapsed="false" customWidth="true" hidden="false" outlineLevel="0" max="130" min="129" style="0" width="6.86"/>
    <col collapsed="false" customWidth="true" hidden="false" outlineLevel="0" max="131" min="131" style="0" width="3.86"/>
    <col collapsed="false" customWidth="true" hidden="false" outlineLevel="0" max="132" min="132" style="0" width="6.86"/>
    <col collapsed="false" customWidth="true" hidden="false" outlineLevel="0" max="133" min="133" style="0" width="3.86"/>
    <col collapsed="false" customWidth="true" hidden="false" outlineLevel="0" max="135" min="134" style="0" width="6.86"/>
    <col collapsed="false" customWidth="true" hidden="false" outlineLevel="0" max="136" min="136" style="0" width="3.86"/>
    <col collapsed="false" customWidth="true" hidden="false" outlineLevel="0" max="137" min="137" style="0" width="6.86"/>
    <col collapsed="false" customWidth="true" hidden="false" outlineLevel="0" max="138" min="138" style="0" width="3.86"/>
    <col collapsed="false" customWidth="true" hidden="false" outlineLevel="0" max="140" min="139" style="0" width="6.86"/>
    <col collapsed="false" customWidth="true" hidden="false" outlineLevel="0" max="141" min="141" style="0" width="4.86"/>
    <col collapsed="false" customWidth="true" hidden="false" outlineLevel="0" max="142" min="142" style="0" width="6.86"/>
    <col collapsed="false" customWidth="true" hidden="false" outlineLevel="0" max="143" min="143" style="0" width="3.86"/>
    <col collapsed="false" customWidth="true" hidden="false" outlineLevel="0" max="144" min="144" style="0" width="6.86"/>
    <col collapsed="false" customWidth="true" hidden="false" outlineLevel="0" max="145" min="145" style="0" width="7.86"/>
    <col collapsed="false" customWidth="true" hidden="false" outlineLevel="0" max="146" min="146" style="0" width="4.86"/>
    <col collapsed="false" customWidth="true" hidden="false" outlineLevel="0" max="147" min="147" style="0" width="6.86"/>
    <col collapsed="false" customWidth="true" hidden="false" outlineLevel="0" max="148" min="148" style="0" width="7.86"/>
    <col collapsed="false" customWidth="true" hidden="false" outlineLevel="0" max="149" min="149" style="0" width="4.86"/>
    <col collapsed="false" customWidth="true" hidden="false" outlineLevel="0" max="150" min="150" style="0" width="6.86"/>
    <col collapsed="false" customWidth="true" hidden="false" outlineLevel="0" max="151" min="151" style="0" width="7.86"/>
    <col collapsed="false" customWidth="true" hidden="false" outlineLevel="0" max="152" min="152" style="0" width="4.86"/>
    <col collapsed="false" customWidth="true" hidden="false" outlineLevel="0" max="153" min="153" style="0" width="6.86"/>
    <col collapsed="false" customWidth="true" hidden="false" outlineLevel="0" max="154" min="154" style="0" width="7.86"/>
    <col collapsed="false" customWidth="true" hidden="false" outlineLevel="0" max="155" min="155" style="0" width="4.86"/>
    <col collapsed="false" customWidth="true" hidden="false" outlineLevel="0" max="156" min="156" style="0" width="6.86"/>
    <col collapsed="false" customWidth="true" hidden="false" outlineLevel="0" max="157" min="157" style="0" width="7.86"/>
    <col collapsed="false" customWidth="true" hidden="false" outlineLevel="0" max="158" min="158" style="0" width="4.86"/>
    <col collapsed="false" customWidth="true" hidden="false" outlineLevel="0" max="159" min="159" style="0" width="6.86"/>
    <col collapsed="false" customWidth="true" hidden="false" outlineLevel="0" max="160" min="160" style="0" width="7.86"/>
    <col collapsed="false" customWidth="true" hidden="false" outlineLevel="0" max="161" min="161" style="0" width="4.86"/>
    <col collapsed="false" customWidth="true" hidden="false" outlineLevel="0" max="162" min="162" style="0" width="6.86"/>
    <col collapsed="false" customWidth="true" hidden="false" outlineLevel="0" max="163" min="163" style="0" width="7.86"/>
    <col collapsed="false" customWidth="true" hidden="false" outlineLevel="0" max="164" min="164" style="0" width="4.86"/>
    <col collapsed="false" customWidth="true" hidden="false" outlineLevel="0" max="165" min="165" style="0" width="6.86"/>
    <col collapsed="false" customWidth="true" hidden="false" outlineLevel="0" max="166" min="166" style="0" width="7.86"/>
    <col collapsed="false" customWidth="true" hidden="false" outlineLevel="0" max="167" min="167" style="0" width="4.86"/>
    <col collapsed="false" customWidth="true" hidden="false" outlineLevel="0" max="168" min="168" style="0" width="6.86"/>
    <col collapsed="false" customWidth="true" hidden="false" outlineLevel="0" max="169" min="169" style="0" width="3.86"/>
    <col collapsed="false" customWidth="true" hidden="false" outlineLevel="0" max="170" min="170" style="0" width="6.86"/>
    <col collapsed="false" customWidth="true" hidden="false" outlineLevel="0" max="171" min="171" style="0" width="7.86"/>
    <col collapsed="false" customWidth="true" hidden="false" outlineLevel="0" max="172" min="172" style="0" width="4.86"/>
    <col collapsed="false" customWidth="true" hidden="false" outlineLevel="0" max="173" min="173" style="0" width="6.86"/>
    <col collapsed="false" customWidth="true" hidden="false" outlineLevel="0" max="174" min="174" style="0" width="7.86"/>
    <col collapsed="false" customWidth="true" hidden="false" outlineLevel="0" max="175" min="175" style="0" width="4.86"/>
    <col collapsed="false" customWidth="true" hidden="false" outlineLevel="0" max="176" min="176" style="0" width="6.86"/>
    <col collapsed="false" customWidth="true" hidden="false" outlineLevel="0" max="177" min="177" style="0" width="7.86"/>
    <col collapsed="false" customWidth="true" hidden="false" outlineLevel="0" max="178" min="178" style="0" width="4.86"/>
    <col collapsed="false" customWidth="true" hidden="false" outlineLevel="0" max="179" min="179" style="0" width="6.86"/>
    <col collapsed="false" customWidth="true" hidden="false" outlineLevel="0" max="180" min="180" style="0" width="7.86"/>
    <col collapsed="false" customWidth="true" hidden="false" outlineLevel="0" max="181" min="181" style="0" width="4.86"/>
    <col collapsed="false" customWidth="true" hidden="false" outlineLevel="0" max="182" min="182" style="0" width="6.86"/>
    <col collapsed="false" customWidth="true" hidden="false" outlineLevel="0" max="183" min="183" style="0" width="7.86"/>
    <col collapsed="false" customWidth="true" hidden="false" outlineLevel="0" max="184" min="184" style="0" width="4.86"/>
    <col collapsed="false" customWidth="true" hidden="false" outlineLevel="0" max="185" min="185" style="0" width="6.86"/>
    <col collapsed="false" customWidth="true" hidden="false" outlineLevel="0" max="186" min="186" style="0" width="7.86"/>
    <col collapsed="false" customWidth="true" hidden="false" outlineLevel="0" max="187" min="187" style="0" width="4.86"/>
    <col collapsed="false" customWidth="true" hidden="false" outlineLevel="0" max="188" min="188" style="0" width="6.86"/>
    <col collapsed="false" customWidth="true" hidden="false" outlineLevel="0" max="189" min="189" style="0" width="7.86"/>
    <col collapsed="false" customWidth="true" hidden="false" outlineLevel="0" max="190" min="190" style="0" width="4.86"/>
    <col collapsed="false" customWidth="true" hidden="false" outlineLevel="0" max="191" min="191" style="0" width="6.86"/>
    <col collapsed="false" customWidth="true" hidden="false" outlineLevel="0" max="192" min="192" style="0" width="7.86"/>
    <col collapsed="false" customWidth="true" hidden="false" outlineLevel="0" max="193" min="193" style="0" width="4.86"/>
    <col collapsed="false" customWidth="true" hidden="false" outlineLevel="0" max="194" min="194" style="0" width="6.86"/>
    <col collapsed="false" customWidth="true" hidden="false" outlineLevel="0" max="195" min="195" style="0" width="7.86"/>
    <col collapsed="false" customWidth="true" hidden="false" outlineLevel="0" max="196" min="196" style="0" width="12.57"/>
  </cols>
  <sheetData>
    <row r="1" customFormat="false" ht="15" hidden="false" customHeight="false" outlineLevel="0" collapsed="false">
      <c r="E1" s="55" t="s">
        <v>0</v>
      </c>
      <c r="F1" s="55"/>
      <c r="G1" s="55"/>
      <c r="H1" s="1"/>
      <c r="I1" s="1"/>
      <c r="J1" s="1"/>
    </row>
    <row r="2" customFormat="false" ht="15" hidden="false" customHeight="false" outlineLevel="0" collapsed="false">
      <c r="A2" s="0" t="s">
        <v>1</v>
      </c>
      <c r="B2" s="0" t="s">
        <v>2</v>
      </c>
      <c r="C2" s="1" t="s">
        <v>3</v>
      </c>
      <c r="D2" s="0" t="s">
        <v>4</v>
      </c>
      <c r="E2" s="2" t="s">
        <v>125</v>
      </c>
      <c r="F2" s="2" t="s">
        <v>126</v>
      </c>
      <c r="G2" s="2" t="s">
        <v>127</v>
      </c>
      <c r="H2" s="2" t="s">
        <v>11</v>
      </c>
      <c r="I2" s="1"/>
      <c r="J2" s="1"/>
      <c r="K2" s="56"/>
      <c r="L2" s="57"/>
      <c r="M2" s="25" t="s">
        <v>42</v>
      </c>
      <c r="N2" s="33"/>
      <c r="O2" s="33"/>
      <c r="P2" s="34"/>
    </row>
    <row r="3" customFormat="false" ht="15" hidden="false" customHeight="false" outlineLevel="0" collapsed="false">
      <c r="A3" s="4" t="n">
        <v>39427</v>
      </c>
      <c r="B3" s="0" t="s">
        <v>12</v>
      </c>
      <c r="C3" s="1" t="n">
        <v>1</v>
      </c>
      <c r="D3" s="0" t="s">
        <v>13</v>
      </c>
      <c r="E3" s="1" t="n">
        <f aca="false">crudos!E3+crudos!F3</f>
        <v>0</v>
      </c>
      <c r="F3" s="1" t="n">
        <f aca="false">crudos!G3+crudos!H3</f>
        <v>0</v>
      </c>
      <c r="G3" s="1" t="n">
        <f aca="false">crudos!I3+crudos!J3</f>
        <v>0</v>
      </c>
      <c r="H3" s="2" t="n">
        <v>0</v>
      </c>
      <c r="I3" s="1"/>
      <c r="J3" s="1"/>
      <c r="K3" s="35" t="s">
        <v>2</v>
      </c>
      <c r="L3" s="58" t="s">
        <v>3</v>
      </c>
      <c r="M3" s="36" t="s">
        <v>128</v>
      </c>
      <c r="N3" s="37" t="s">
        <v>129</v>
      </c>
      <c r="O3" s="37" t="s">
        <v>130</v>
      </c>
      <c r="P3" s="38" t="s">
        <v>43</v>
      </c>
      <c r="Q3" s="59" t="s">
        <v>131</v>
      </c>
    </row>
    <row r="4" customFormat="false" ht="15" hidden="false" customHeight="false" outlineLevel="0" collapsed="false">
      <c r="A4" s="4" t="n">
        <v>39427</v>
      </c>
      <c r="B4" s="0" t="s">
        <v>12</v>
      </c>
      <c r="C4" s="1" t="n">
        <v>1</v>
      </c>
      <c r="D4" s="0" t="s">
        <v>14</v>
      </c>
      <c r="E4" s="1" t="n">
        <f aca="false">crudos!E4+crudos!F4</f>
        <v>22</v>
      </c>
      <c r="F4" s="1" t="n">
        <f aca="false">crudos!G4+crudos!H4</f>
        <v>0</v>
      </c>
      <c r="G4" s="1" t="n">
        <f aca="false">crudos!I4+crudos!J4</f>
        <v>0</v>
      </c>
      <c r="H4" s="2"/>
      <c r="I4" s="1"/>
      <c r="J4" s="1"/>
      <c r="K4" s="8" t="s">
        <v>23</v>
      </c>
      <c r="L4" s="26"/>
      <c r="M4" s="39" t="n">
        <v>339</v>
      </c>
      <c r="N4" s="40" t="n">
        <v>75</v>
      </c>
      <c r="O4" s="40" t="n">
        <v>84</v>
      </c>
      <c r="P4" s="41" t="n">
        <v>1</v>
      </c>
      <c r="Q4" s="2" t="s">
        <v>2</v>
      </c>
      <c r="R4" s="2" t="s">
        <v>132</v>
      </c>
      <c r="S4" s="2" t="s">
        <v>133</v>
      </c>
      <c r="T4" s="2" t="s">
        <v>134</v>
      </c>
      <c r="U4" s="2" t="s">
        <v>135</v>
      </c>
      <c r="V4" s="2" t="s">
        <v>43</v>
      </c>
      <c r="W4" s="2" t="s">
        <v>136</v>
      </c>
      <c r="X4" s="2" t="s">
        <v>137</v>
      </c>
      <c r="Y4" s="2" t="s">
        <v>138</v>
      </c>
      <c r="Z4" s="2" t="s">
        <v>139</v>
      </c>
      <c r="AB4" s="53" t="s">
        <v>140</v>
      </c>
    </row>
    <row r="5" customFormat="false" ht="15" hidden="false" customHeight="false" outlineLevel="0" collapsed="false">
      <c r="A5" s="4" t="n">
        <v>39427</v>
      </c>
      <c r="B5" s="0" t="s">
        <v>12</v>
      </c>
      <c r="C5" s="1" t="n">
        <v>1</v>
      </c>
      <c r="D5" s="0" t="s">
        <v>15</v>
      </c>
      <c r="E5" s="1" t="n">
        <f aca="false">crudos!E5+crudos!F5</f>
        <v>0</v>
      </c>
      <c r="F5" s="1" t="n">
        <f aca="false">crudos!G5+crudos!H5</f>
        <v>0</v>
      </c>
      <c r="G5" s="1" t="n">
        <f aca="false">crudos!I5+crudos!J5</f>
        <v>0</v>
      </c>
      <c r="H5" s="2"/>
      <c r="I5" s="1"/>
      <c r="J5" s="1"/>
      <c r="K5" s="14"/>
      <c r="L5" s="27" t="n">
        <v>1</v>
      </c>
      <c r="M5" s="43" t="n">
        <v>35</v>
      </c>
      <c r="N5" s="44" t="n">
        <v>10</v>
      </c>
      <c r="O5" s="44" t="n">
        <v>11</v>
      </c>
      <c r="P5" s="45" t="n">
        <v>0</v>
      </c>
      <c r="Q5" s="1" t="s">
        <v>34</v>
      </c>
      <c r="R5" s="1" t="n">
        <v>35</v>
      </c>
      <c r="S5" s="1" t="n">
        <v>10</v>
      </c>
      <c r="T5" s="1" t="n">
        <v>11</v>
      </c>
      <c r="U5" s="1" t="n">
        <f aca="false">SUM(R5:T5)</f>
        <v>56</v>
      </c>
      <c r="V5" s="1" t="n">
        <v>0</v>
      </c>
      <c r="W5" s="1" t="n">
        <f aca="false">R5-V5</f>
        <v>35</v>
      </c>
      <c r="X5" s="1" t="n">
        <f aca="false">S5-V5</f>
        <v>10</v>
      </c>
      <c r="Y5" s="1" t="n">
        <f aca="false">T5-V5</f>
        <v>11</v>
      </c>
      <c r="Z5" s="1" t="n">
        <f aca="false">U5-V5</f>
        <v>56</v>
      </c>
    </row>
    <row r="6" customFormat="false" ht="15" hidden="false" customHeight="false" outlineLevel="0" collapsed="false">
      <c r="A6" s="4" t="n">
        <v>39427</v>
      </c>
      <c r="B6" s="0" t="s">
        <v>12</v>
      </c>
      <c r="C6" s="1" t="n">
        <v>1</v>
      </c>
      <c r="D6" s="0" t="s">
        <v>16</v>
      </c>
      <c r="E6" s="1" t="n">
        <f aca="false">crudos!E6+crudos!F6</f>
        <v>2</v>
      </c>
      <c r="F6" s="1" t="n">
        <f aca="false">crudos!G6+crudos!H6</f>
        <v>0</v>
      </c>
      <c r="G6" s="1" t="n">
        <f aca="false">crudos!I6+crudos!J6</f>
        <v>1</v>
      </c>
      <c r="H6" s="2"/>
      <c r="I6" s="1"/>
      <c r="J6" s="1"/>
      <c r="K6" s="14"/>
      <c r="L6" s="27" t="n">
        <v>2</v>
      </c>
      <c r="M6" s="43" t="n">
        <v>52</v>
      </c>
      <c r="N6" s="44" t="n">
        <v>3</v>
      </c>
      <c r="O6" s="44" t="n">
        <v>1</v>
      </c>
      <c r="P6" s="45" t="n">
        <v>1</v>
      </c>
      <c r="Q6" s="1" t="s">
        <v>34</v>
      </c>
      <c r="R6" s="1" t="n">
        <v>52</v>
      </c>
      <c r="S6" s="1" t="n">
        <v>3</v>
      </c>
      <c r="T6" s="1" t="n">
        <v>1</v>
      </c>
      <c r="U6" s="1" t="n">
        <f aca="false">SUM(R6:T6)</f>
        <v>56</v>
      </c>
      <c r="V6" s="1" t="n">
        <v>1</v>
      </c>
      <c r="W6" s="1" t="n">
        <f aca="false">R6-V6</f>
        <v>51</v>
      </c>
      <c r="X6" s="1" t="n">
        <f aca="false">S6-V6</f>
        <v>2</v>
      </c>
      <c r="Y6" s="1" t="n">
        <f aca="false">T6-V6</f>
        <v>0</v>
      </c>
      <c r="Z6" s="1" t="n">
        <f aca="false">U6-V6</f>
        <v>55</v>
      </c>
      <c r="AB6" s="0" t="s">
        <v>2</v>
      </c>
      <c r="AC6" s="0" t="s">
        <v>141</v>
      </c>
      <c r="AD6" s="0" t="s">
        <v>142</v>
      </c>
      <c r="AE6" s="0" t="s">
        <v>143</v>
      </c>
      <c r="AF6" s="0" t="s">
        <v>108</v>
      </c>
      <c r="AG6" s="0" t="s">
        <v>82</v>
      </c>
      <c r="AH6" s="0" t="s">
        <v>144</v>
      </c>
      <c r="AI6" s="0" t="s">
        <v>145</v>
      </c>
    </row>
    <row r="7" customFormat="false" ht="15" hidden="false" customHeight="false" outlineLevel="0" collapsed="false">
      <c r="A7" s="4" t="n">
        <v>39427</v>
      </c>
      <c r="B7" s="0" t="s">
        <v>12</v>
      </c>
      <c r="C7" s="1" t="n">
        <v>1</v>
      </c>
      <c r="D7" s="0" t="s">
        <v>17</v>
      </c>
      <c r="E7" s="1" t="n">
        <f aca="false">crudos!E7+crudos!F7</f>
        <v>1</v>
      </c>
      <c r="F7" s="1" t="n">
        <f aca="false">crudos!G7+crudos!H7</f>
        <v>4</v>
      </c>
      <c r="G7" s="1" t="n">
        <f aca="false">crudos!I7+crudos!J7</f>
        <v>10</v>
      </c>
      <c r="H7" s="2"/>
      <c r="I7" s="1"/>
      <c r="J7" s="1"/>
      <c r="K7" s="14"/>
      <c r="L7" s="27" t="n">
        <v>3</v>
      </c>
      <c r="M7" s="43" t="n">
        <v>32</v>
      </c>
      <c r="N7" s="44" t="n">
        <v>11</v>
      </c>
      <c r="O7" s="44" t="n">
        <v>4</v>
      </c>
      <c r="P7" s="45" t="n">
        <v>0</v>
      </c>
      <c r="Q7" s="1" t="s">
        <v>34</v>
      </c>
      <c r="R7" s="1" t="n">
        <v>32</v>
      </c>
      <c r="S7" s="1" t="n">
        <v>11</v>
      </c>
      <c r="T7" s="1" t="n">
        <v>4</v>
      </c>
      <c r="U7" s="1" t="n">
        <f aca="false">SUM(R7:T7)</f>
        <v>47</v>
      </c>
      <c r="V7" s="1" t="n">
        <v>0</v>
      </c>
      <c r="W7" s="1" t="n">
        <f aca="false">R7-V7</f>
        <v>32</v>
      </c>
      <c r="X7" s="1" t="n">
        <f aca="false">S7-V7</f>
        <v>11</v>
      </c>
      <c r="Y7" s="1" t="n">
        <f aca="false">T7-V7</f>
        <v>4</v>
      </c>
      <c r="Z7" s="1" t="n">
        <f aca="false">U7-V7</f>
        <v>47</v>
      </c>
      <c r="AB7" s="0" t="s">
        <v>35</v>
      </c>
      <c r="AC7" s="0" t="s">
        <v>146</v>
      </c>
      <c r="AD7" s="0" t="n">
        <v>10</v>
      </c>
      <c r="AE7" s="0" t="n">
        <v>25.3</v>
      </c>
      <c r="AF7" s="0" t="n">
        <v>7.5</v>
      </c>
      <c r="AG7" s="0" t="n">
        <v>2.37</v>
      </c>
      <c r="AH7" s="0" t="n">
        <v>11</v>
      </c>
      <c r="AI7" s="0" t="n">
        <v>37</v>
      </c>
    </row>
    <row r="8" customFormat="false" ht="15" hidden="false" customHeight="false" outlineLevel="0" collapsed="false">
      <c r="A8" s="4" t="n">
        <v>39427</v>
      </c>
      <c r="B8" s="0" t="s">
        <v>12</v>
      </c>
      <c r="C8" s="1" t="n">
        <v>1</v>
      </c>
      <c r="D8" s="0" t="s">
        <v>18</v>
      </c>
      <c r="E8" s="1" t="n">
        <f aca="false">crudos!E8+crudos!F8</f>
        <v>0</v>
      </c>
      <c r="F8" s="1" t="n">
        <f aca="false">crudos!G8+crudos!H8</f>
        <v>0</v>
      </c>
      <c r="G8" s="1" t="n">
        <f aca="false">crudos!I8+crudos!J8</f>
        <v>0</v>
      </c>
      <c r="H8" s="2"/>
      <c r="I8" s="1"/>
      <c r="J8" s="1"/>
      <c r="K8" s="14"/>
      <c r="L8" s="27" t="n">
        <v>4</v>
      </c>
      <c r="M8" s="43" t="n">
        <v>27</v>
      </c>
      <c r="N8" s="44" t="n">
        <v>7</v>
      </c>
      <c r="O8" s="44" t="n">
        <v>8</v>
      </c>
      <c r="P8" s="45" t="n">
        <v>0</v>
      </c>
      <c r="Q8" s="1" t="s">
        <v>34</v>
      </c>
      <c r="R8" s="1" t="n">
        <v>27</v>
      </c>
      <c r="S8" s="1" t="n">
        <v>7</v>
      </c>
      <c r="T8" s="1" t="n">
        <v>8</v>
      </c>
      <c r="U8" s="1" t="n">
        <f aca="false">SUM(R8:T8)</f>
        <v>42</v>
      </c>
      <c r="V8" s="1" t="n">
        <v>0</v>
      </c>
      <c r="W8" s="1" t="n">
        <f aca="false">R8-V8</f>
        <v>27</v>
      </c>
      <c r="X8" s="1" t="n">
        <f aca="false">S8-V8</f>
        <v>7</v>
      </c>
      <c r="Y8" s="1" t="n">
        <f aca="false">T8-V8</f>
        <v>8</v>
      </c>
      <c r="Z8" s="1" t="n">
        <f aca="false">U8-V8</f>
        <v>42</v>
      </c>
      <c r="AB8" s="0" t="s">
        <v>35</v>
      </c>
      <c r="AC8" s="0" t="s">
        <v>147</v>
      </c>
      <c r="AD8" s="0" t="n">
        <v>10</v>
      </c>
      <c r="AE8" s="0" t="n">
        <v>6.6</v>
      </c>
      <c r="AF8" s="0" t="n">
        <v>5.42</v>
      </c>
      <c r="AG8" s="0" t="n">
        <v>1.71</v>
      </c>
      <c r="AH8" s="0" t="n">
        <v>0</v>
      </c>
      <c r="AI8" s="0" t="n">
        <v>19</v>
      </c>
    </row>
    <row r="9" customFormat="false" ht="15" hidden="false" customHeight="false" outlineLevel="0" collapsed="false">
      <c r="A9" s="4" t="n">
        <v>39427</v>
      </c>
      <c r="B9" s="0" t="s">
        <v>12</v>
      </c>
      <c r="C9" s="1" t="n">
        <v>2</v>
      </c>
      <c r="D9" s="0" t="s">
        <v>13</v>
      </c>
      <c r="E9" s="1" t="n">
        <f aca="false">crudos!E9+crudos!F9</f>
        <v>1</v>
      </c>
      <c r="F9" s="1" t="n">
        <f aca="false">crudos!G9+crudos!H9</f>
        <v>0</v>
      </c>
      <c r="G9" s="1" t="n">
        <f aca="false">crudos!I9+crudos!J9</f>
        <v>0</v>
      </c>
      <c r="H9" s="2" t="n">
        <v>0</v>
      </c>
      <c r="I9" s="1"/>
      <c r="J9" s="1"/>
      <c r="K9" s="14"/>
      <c r="L9" s="27" t="n">
        <v>5</v>
      </c>
      <c r="M9" s="43" t="n">
        <v>61</v>
      </c>
      <c r="N9" s="44" t="n">
        <v>3</v>
      </c>
      <c r="O9" s="44" t="n">
        <v>15</v>
      </c>
      <c r="P9" s="45" t="n">
        <v>0</v>
      </c>
      <c r="Q9" s="1" t="s">
        <v>34</v>
      </c>
      <c r="R9" s="1" t="n">
        <v>61</v>
      </c>
      <c r="S9" s="1" t="n">
        <v>3</v>
      </c>
      <c r="T9" s="1" t="n">
        <v>15</v>
      </c>
      <c r="U9" s="1" t="n">
        <f aca="false">SUM(R9:T9)</f>
        <v>79</v>
      </c>
      <c r="V9" s="1" t="n">
        <v>0</v>
      </c>
      <c r="W9" s="1" t="n">
        <f aca="false">R9-V9</f>
        <v>61</v>
      </c>
      <c r="X9" s="1" t="n">
        <f aca="false">S9-V9</f>
        <v>3</v>
      </c>
      <c r="Y9" s="1" t="n">
        <f aca="false">T9-V9</f>
        <v>15</v>
      </c>
      <c r="Z9" s="1" t="n">
        <f aca="false">U9-V9</f>
        <v>79</v>
      </c>
      <c r="AB9" s="0" t="s">
        <v>35</v>
      </c>
      <c r="AC9" s="0" t="s">
        <v>148</v>
      </c>
      <c r="AD9" s="0" t="n">
        <v>10</v>
      </c>
      <c r="AE9" s="0" t="n">
        <v>5.6</v>
      </c>
      <c r="AF9" s="0" t="n">
        <v>3.92</v>
      </c>
      <c r="AG9" s="0" t="n">
        <v>1.24</v>
      </c>
      <c r="AH9" s="0" t="n">
        <v>0</v>
      </c>
      <c r="AI9" s="0" t="n">
        <v>12</v>
      </c>
    </row>
    <row r="10" customFormat="false" ht="15" hidden="false" customHeight="false" outlineLevel="0" collapsed="false">
      <c r="A10" s="4" t="n">
        <v>39427</v>
      </c>
      <c r="B10" s="0" t="s">
        <v>12</v>
      </c>
      <c r="C10" s="1" t="n">
        <v>2</v>
      </c>
      <c r="D10" s="0" t="s">
        <v>14</v>
      </c>
      <c r="E10" s="1" t="n">
        <f aca="false">crudos!E10+crudos!F10</f>
        <v>9</v>
      </c>
      <c r="F10" s="1" t="n">
        <f aca="false">crudos!G10+crudos!H10</f>
        <v>0</v>
      </c>
      <c r="G10" s="1" t="n">
        <f aca="false">crudos!I10+crudos!J10</f>
        <v>0</v>
      </c>
      <c r="H10" s="2"/>
      <c r="I10" s="1"/>
      <c r="J10" s="1"/>
      <c r="K10" s="14"/>
      <c r="L10" s="27" t="n">
        <v>6</v>
      </c>
      <c r="M10" s="43" t="n">
        <v>20</v>
      </c>
      <c r="N10" s="44" t="n">
        <v>4</v>
      </c>
      <c r="O10" s="44" t="n">
        <v>12</v>
      </c>
      <c r="P10" s="45" t="n">
        <v>0</v>
      </c>
      <c r="Q10" s="1" t="s">
        <v>34</v>
      </c>
      <c r="R10" s="1" t="n">
        <v>20</v>
      </c>
      <c r="S10" s="1" t="n">
        <v>4</v>
      </c>
      <c r="T10" s="1" t="n">
        <v>12</v>
      </c>
      <c r="U10" s="1" t="n">
        <f aca="false">SUM(R10:T10)</f>
        <v>36</v>
      </c>
      <c r="V10" s="1" t="n">
        <v>0</v>
      </c>
      <c r="W10" s="1" t="n">
        <f aca="false">R10-V10</f>
        <v>20</v>
      </c>
      <c r="X10" s="1" t="n">
        <f aca="false">S10-V10</f>
        <v>4</v>
      </c>
      <c r="Y10" s="1" t="n">
        <f aca="false">T10-V10</f>
        <v>12</v>
      </c>
      <c r="Z10" s="1" t="n">
        <f aca="false">U10-V10</f>
        <v>36</v>
      </c>
      <c r="AB10" s="0" t="s">
        <v>35</v>
      </c>
      <c r="AC10" s="0" t="s">
        <v>149</v>
      </c>
      <c r="AD10" s="0" t="n">
        <v>10</v>
      </c>
      <c r="AE10" s="0" t="n">
        <v>37.5</v>
      </c>
      <c r="AF10" s="0" t="n">
        <v>8.76</v>
      </c>
      <c r="AG10" s="0" t="n">
        <v>2.77</v>
      </c>
      <c r="AH10" s="0" t="n">
        <v>25</v>
      </c>
      <c r="AI10" s="0" t="n">
        <v>52</v>
      </c>
    </row>
    <row r="11" customFormat="false" ht="15" hidden="false" customHeight="false" outlineLevel="0" collapsed="false">
      <c r="A11" s="4" t="n">
        <v>39427</v>
      </c>
      <c r="B11" s="0" t="s">
        <v>12</v>
      </c>
      <c r="C11" s="1" t="n">
        <v>2</v>
      </c>
      <c r="D11" s="0" t="s">
        <v>15</v>
      </c>
      <c r="E11" s="1" t="n">
        <f aca="false">crudos!E11+crudos!F11</f>
        <v>1</v>
      </c>
      <c r="F11" s="1" t="n">
        <f aca="false">crudos!G11+crudos!H11</f>
        <v>0</v>
      </c>
      <c r="G11" s="1" t="n">
        <f aca="false">crudos!I11+crudos!J11</f>
        <v>0</v>
      </c>
      <c r="H11" s="2"/>
      <c r="I11" s="1"/>
      <c r="J11" s="1"/>
      <c r="K11" s="14"/>
      <c r="L11" s="27" t="n">
        <v>7</v>
      </c>
      <c r="M11" s="43" t="n">
        <v>30</v>
      </c>
      <c r="N11" s="44" t="n">
        <v>12</v>
      </c>
      <c r="O11" s="44" t="n">
        <v>18</v>
      </c>
      <c r="P11" s="45" t="n">
        <v>0</v>
      </c>
      <c r="Q11" s="1" t="s">
        <v>34</v>
      </c>
      <c r="R11" s="1" t="n">
        <v>30</v>
      </c>
      <c r="S11" s="1" t="n">
        <v>12</v>
      </c>
      <c r="T11" s="1" t="n">
        <v>18</v>
      </c>
      <c r="U11" s="1" t="n">
        <f aca="false">SUM(R11:T11)</f>
        <v>60</v>
      </c>
      <c r="V11" s="1" t="n">
        <v>0</v>
      </c>
      <c r="W11" s="1" t="n">
        <f aca="false">R11-V11</f>
        <v>30</v>
      </c>
      <c r="X11" s="1" t="n">
        <f aca="false">S11-V11</f>
        <v>12</v>
      </c>
      <c r="Y11" s="1" t="n">
        <f aca="false">T11-V11</f>
        <v>18</v>
      </c>
      <c r="Z11" s="1" t="n">
        <f aca="false">U11-V11</f>
        <v>60</v>
      </c>
      <c r="AB11" s="0" t="s">
        <v>35</v>
      </c>
      <c r="AC11" s="60" t="s">
        <v>150</v>
      </c>
      <c r="AD11" s="60" t="n">
        <v>10</v>
      </c>
      <c r="AE11" s="60" t="n">
        <v>0.5</v>
      </c>
      <c r="AF11" s="60" t="n">
        <v>0.85</v>
      </c>
      <c r="AG11" s="60" t="n">
        <v>0.27</v>
      </c>
      <c r="AH11" s="60" t="n">
        <v>0</v>
      </c>
      <c r="AI11" s="60" t="n">
        <v>2</v>
      </c>
    </row>
    <row r="12" customFormat="false" ht="15" hidden="false" customHeight="false" outlineLevel="0" collapsed="false">
      <c r="A12" s="4" t="n">
        <v>39427</v>
      </c>
      <c r="B12" s="0" t="s">
        <v>12</v>
      </c>
      <c r="C12" s="1" t="n">
        <v>2</v>
      </c>
      <c r="D12" s="0" t="s">
        <v>16</v>
      </c>
      <c r="E12" s="1" t="n">
        <f aca="false">crudos!E12+crudos!F12</f>
        <v>3</v>
      </c>
      <c r="F12" s="1" t="n">
        <f aca="false">crudos!G12+crudos!H12</f>
        <v>1</v>
      </c>
      <c r="G12" s="1" t="n">
        <f aca="false">crudos!I12+crudos!J12</f>
        <v>1</v>
      </c>
      <c r="H12" s="2"/>
      <c r="I12" s="1"/>
      <c r="J12" s="1"/>
      <c r="K12" s="14"/>
      <c r="L12" s="27" t="n">
        <v>8</v>
      </c>
      <c r="M12" s="43" t="n">
        <v>41</v>
      </c>
      <c r="N12" s="44" t="n">
        <v>9</v>
      </c>
      <c r="O12" s="44" t="n">
        <v>8</v>
      </c>
      <c r="P12" s="45" t="n">
        <v>0</v>
      </c>
      <c r="Q12" s="1" t="s">
        <v>34</v>
      </c>
      <c r="R12" s="1" t="n">
        <v>41</v>
      </c>
      <c r="S12" s="1" t="n">
        <v>9</v>
      </c>
      <c r="T12" s="1" t="n">
        <v>8</v>
      </c>
      <c r="U12" s="1" t="n">
        <f aca="false">SUM(R12:T12)</f>
        <v>58</v>
      </c>
      <c r="V12" s="1" t="n">
        <v>0</v>
      </c>
      <c r="W12" s="1" t="n">
        <f aca="false">R12-V12</f>
        <v>41</v>
      </c>
      <c r="X12" s="1" t="n">
        <f aca="false">S12-V12</f>
        <v>9</v>
      </c>
      <c r="Y12" s="1" t="n">
        <f aca="false">T12-V12</f>
        <v>8</v>
      </c>
      <c r="Z12" s="1" t="n">
        <f aca="false">U12-V12</f>
        <v>58</v>
      </c>
      <c r="AB12" s="0" t="s">
        <v>35</v>
      </c>
      <c r="AC12" s="0" t="s">
        <v>151</v>
      </c>
      <c r="AD12" s="0" t="n">
        <v>10</v>
      </c>
      <c r="AE12" s="0" t="n">
        <v>24.8</v>
      </c>
      <c r="AF12" s="0" t="n">
        <v>7.77</v>
      </c>
      <c r="AG12" s="0" t="n">
        <v>2.46</v>
      </c>
      <c r="AH12" s="0" t="n">
        <v>11</v>
      </c>
      <c r="AI12" s="0" t="n">
        <v>37</v>
      </c>
    </row>
    <row r="13" customFormat="false" ht="15" hidden="false" customHeight="false" outlineLevel="0" collapsed="false">
      <c r="A13" s="4" t="n">
        <v>39427</v>
      </c>
      <c r="B13" s="0" t="s">
        <v>12</v>
      </c>
      <c r="C13" s="1" t="n">
        <v>2</v>
      </c>
      <c r="D13" s="0" t="s">
        <v>17</v>
      </c>
      <c r="E13" s="1" t="n">
        <f aca="false">crudos!E13+crudos!F13</f>
        <v>0</v>
      </c>
      <c r="F13" s="1" t="n">
        <f aca="false">crudos!G13+crudos!H13</f>
        <v>0</v>
      </c>
      <c r="G13" s="1" t="n">
        <f aca="false">crudos!I13+crudos!J13</f>
        <v>3</v>
      </c>
      <c r="H13" s="2"/>
      <c r="I13" s="1"/>
      <c r="J13" s="1"/>
      <c r="K13" s="14"/>
      <c r="L13" s="27" t="n">
        <v>9</v>
      </c>
      <c r="M13" s="43" t="n">
        <v>17</v>
      </c>
      <c r="N13" s="44" t="n">
        <v>5</v>
      </c>
      <c r="O13" s="44" t="n">
        <v>3</v>
      </c>
      <c r="P13" s="45" t="n">
        <v>0</v>
      </c>
      <c r="Q13" s="1" t="s">
        <v>34</v>
      </c>
      <c r="R13" s="1" t="n">
        <v>17</v>
      </c>
      <c r="S13" s="1" t="n">
        <v>5</v>
      </c>
      <c r="T13" s="1" t="n">
        <v>3</v>
      </c>
      <c r="U13" s="1" t="n">
        <f aca="false">SUM(R13:T13)</f>
        <v>25</v>
      </c>
      <c r="V13" s="1" t="n">
        <v>0</v>
      </c>
      <c r="W13" s="1" t="n">
        <f aca="false">R13-V13</f>
        <v>17</v>
      </c>
      <c r="X13" s="1" t="n">
        <f aca="false">S13-V13</f>
        <v>5</v>
      </c>
      <c r="Y13" s="1" t="n">
        <f aca="false">T13-V13</f>
        <v>3</v>
      </c>
      <c r="Z13" s="1" t="n">
        <f aca="false">U13-V13</f>
        <v>25</v>
      </c>
      <c r="AB13" s="0" t="s">
        <v>35</v>
      </c>
      <c r="AC13" s="0" t="s">
        <v>152</v>
      </c>
      <c r="AD13" s="0" t="n">
        <v>10</v>
      </c>
      <c r="AE13" s="0" t="n">
        <v>6.1</v>
      </c>
      <c r="AF13" s="0" t="n">
        <v>5.47</v>
      </c>
      <c r="AG13" s="0" t="n">
        <v>1.73</v>
      </c>
      <c r="AH13" s="0" t="n">
        <v>-1</v>
      </c>
      <c r="AI13" s="0" t="n">
        <v>19</v>
      </c>
    </row>
    <row r="14" customFormat="false" ht="15" hidden="false" customHeight="false" outlineLevel="0" collapsed="false">
      <c r="A14" s="4" t="n">
        <v>39427</v>
      </c>
      <c r="B14" s="0" t="s">
        <v>12</v>
      </c>
      <c r="C14" s="1" t="n">
        <v>2</v>
      </c>
      <c r="D14" s="0" t="s">
        <v>18</v>
      </c>
      <c r="E14" s="1" t="n">
        <f aca="false">crudos!E14+crudos!F14</f>
        <v>0</v>
      </c>
      <c r="F14" s="1" t="n">
        <f aca="false">crudos!G14+crudos!H14</f>
        <v>0</v>
      </c>
      <c r="G14" s="1" t="n">
        <f aca="false">crudos!I14+crudos!J14</f>
        <v>0</v>
      </c>
      <c r="H14" s="2"/>
      <c r="I14" s="1"/>
      <c r="J14" s="1"/>
      <c r="K14" s="28"/>
      <c r="L14" s="29" t="n">
        <v>10</v>
      </c>
      <c r="M14" s="47" t="n">
        <v>24</v>
      </c>
      <c r="N14" s="48" t="n">
        <v>11</v>
      </c>
      <c r="O14" s="48" t="n">
        <v>4</v>
      </c>
      <c r="P14" s="49" t="n">
        <v>0</v>
      </c>
      <c r="Q14" s="1" t="s">
        <v>34</v>
      </c>
      <c r="R14" s="1" t="n">
        <v>24</v>
      </c>
      <c r="S14" s="1" t="n">
        <v>11</v>
      </c>
      <c r="T14" s="1" t="n">
        <v>4</v>
      </c>
      <c r="U14" s="1" t="n">
        <f aca="false">SUM(R14:T14)</f>
        <v>39</v>
      </c>
      <c r="V14" s="1" t="n">
        <v>0</v>
      </c>
      <c r="W14" s="1" t="n">
        <f aca="false">R14-V14</f>
        <v>24</v>
      </c>
      <c r="X14" s="1" t="n">
        <f aca="false">S14-V14</f>
        <v>11</v>
      </c>
      <c r="Y14" s="1" t="n">
        <f aca="false">T14-V14</f>
        <v>4</v>
      </c>
      <c r="Z14" s="1" t="n">
        <f aca="false">U14-V14</f>
        <v>39</v>
      </c>
      <c r="AB14" s="0" t="s">
        <v>35</v>
      </c>
      <c r="AC14" s="0" t="s">
        <v>153</v>
      </c>
      <c r="AD14" s="0" t="n">
        <v>10</v>
      </c>
      <c r="AE14" s="0" t="n">
        <v>5.1</v>
      </c>
      <c r="AF14" s="0" t="n">
        <v>3.96</v>
      </c>
      <c r="AG14" s="0" t="n">
        <v>1.25</v>
      </c>
      <c r="AH14" s="0" t="n">
        <v>0</v>
      </c>
      <c r="AI14" s="0" t="n">
        <v>12</v>
      </c>
    </row>
    <row r="15" customFormat="false" ht="15" hidden="false" customHeight="false" outlineLevel="0" collapsed="false">
      <c r="A15" s="4" t="n">
        <v>39427</v>
      </c>
      <c r="B15" s="0" t="s">
        <v>12</v>
      </c>
      <c r="C15" s="1" t="n">
        <v>3</v>
      </c>
      <c r="D15" s="0" t="s">
        <v>13</v>
      </c>
      <c r="E15" s="1" t="n">
        <f aca="false">crudos!E15+crudos!F15</f>
        <v>2</v>
      </c>
      <c r="F15" s="1" t="n">
        <f aca="false">crudos!G15+crudos!H15</f>
        <v>0</v>
      </c>
      <c r="G15" s="1" t="n">
        <f aca="false">crudos!I15+crudos!J15</f>
        <v>0</v>
      </c>
      <c r="H15" s="2" t="n">
        <v>1</v>
      </c>
      <c r="I15" s="1"/>
      <c r="J15" s="1"/>
      <c r="K15" s="8" t="s">
        <v>22</v>
      </c>
      <c r="L15" s="26"/>
      <c r="M15" s="39" t="n">
        <v>253</v>
      </c>
      <c r="N15" s="40" t="n">
        <v>66</v>
      </c>
      <c r="O15" s="40" t="n">
        <v>56</v>
      </c>
      <c r="P15" s="41" t="n">
        <v>5</v>
      </c>
      <c r="Q15" s="1" t="s">
        <v>35</v>
      </c>
      <c r="R15" s="1" t="n">
        <v>29</v>
      </c>
      <c r="S15" s="1" t="n">
        <v>4</v>
      </c>
      <c r="T15" s="1" t="n">
        <v>0</v>
      </c>
      <c r="U15" s="1" t="n">
        <f aca="false">SUM(R15:T15)</f>
        <v>33</v>
      </c>
      <c r="V15" s="1" t="n">
        <v>0</v>
      </c>
      <c r="W15" s="1" t="n">
        <f aca="false">R15-V15</f>
        <v>29</v>
      </c>
      <c r="X15" s="1" t="n">
        <f aca="false">S15-V15</f>
        <v>4</v>
      </c>
      <c r="Y15" s="1" t="n">
        <f aca="false">T15-V15</f>
        <v>0</v>
      </c>
      <c r="Z15" s="1" t="n">
        <f aca="false">U15-V15</f>
        <v>33</v>
      </c>
      <c r="AB15" s="0" t="s">
        <v>35</v>
      </c>
      <c r="AC15" s="0" t="s">
        <v>154</v>
      </c>
      <c r="AD15" s="0" t="n">
        <v>10</v>
      </c>
      <c r="AE15" s="0" t="n">
        <v>37</v>
      </c>
      <c r="AF15" s="0" t="n">
        <v>8.96</v>
      </c>
      <c r="AG15" s="0" t="n">
        <v>2.83</v>
      </c>
      <c r="AH15" s="0" t="n">
        <v>24</v>
      </c>
      <c r="AI15" s="0" t="n">
        <v>52</v>
      </c>
    </row>
    <row r="16" customFormat="false" ht="15" hidden="false" customHeight="false" outlineLevel="0" collapsed="false">
      <c r="A16" s="4" t="n">
        <v>39427</v>
      </c>
      <c r="B16" s="0" t="s">
        <v>12</v>
      </c>
      <c r="C16" s="1" t="n">
        <v>3</v>
      </c>
      <c r="D16" s="0" t="s">
        <v>14</v>
      </c>
      <c r="E16" s="1" t="n">
        <f aca="false">crudos!E16+crudos!F16</f>
        <v>8</v>
      </c>
      <c r="F16" s="1" t="n">
        <f aca="false">crudos!G16+crudos!H16</f>
        <v>0</v>
      </c>
      <c r="G16" s="1" t="n">
        <f aca="false">crudos!I16+crudos!J16</f>
        <v>0</v>
      </c>
      <c r="H16" s="2"/>
      <c r="I16" s="1"/>
      <c r="J16" s="1"/>
      <c r="K16" s="14"/>
      <c r="L16" s="27" t="n">
        <v>1</v>
      </c>
      <c r="M16" s="43" t="n">
        <v>29</v>
      </c>
      <c r="N16" s="44" t="n">
        <v>4</v>
      </c>
      <c r="O16" s="44" t="n">
        <v>0</v>
      </c>
      <c r="P16" s="45" t="n">
        <v>0</v>
      </c>
      <c r="Q16" s="1" t="s">
        <v>35</v>
      </c>
      <c r="R16" s="1" t="n">
        <v>17</v>
      </c>
      <c r="S16" s="1" t="n">
        <v>8</v>
      </c>
      <c r="T16" s="1" t="n">
        <v>4</v>
      </c>
      <c r="U16" s="1" t="n">
        <f aca="false">SUM(R16:T16)</f>
        <v>29</v>
      </c>
      <c r="V16" s="1" t="n">
        <v>2</v>
      </c>
      <c r="W16" s="1" t="n">
        <f aca="false">R16-V16</f>
        <v>15</v>
      </c>
      <c r="X16" s="1" t="n">
        <f aca="false">S16-V16</f>
        <v>6</v>
      </c>
      <c r="Y16" s="1" t="n">
        <f aca="false">T16-V16</f>
        <v>2</v>
      </c>
      <c r="Z16" s="1" t="n">
        <f aca="false">U16-V16</f>
        <v>27</v>
      </c>
      <c r="AB16" s="0" t="s">
        <v>37</v>
      </c>
      <c r="AC16" s="0" t="s">
        <v>146</v>
      </c>
      <c r="AD16" s="0" t="n">
        <v>10</v>
      </c>
      <c r="AE16" s="0" t="n">
        <v>1.6</v>
      </c>
      <c r="AF16" s="0" t="n">
        <v>2.07</v>
      </c>
      <c r="AG16" s="0" t="n">
        <v>0.65</v>
      </c>
      <c r="AH16" s="0" t="n">
        <v>0</v>
      </c>
      <c r="AI16" s="0" t="n">
        <v>5</v>
      </c>
    </row>
    <row r="17" customFormat="false" ht="15" hidden="false" customHeight="false" outlineLevel="0" collapsed="false">
      <c r="A17" s="4" t="n">
        <v>39427</v>
      </c>
      <c r="B17" s="0" t="s">
        <v>12</v>
      </c>
      <c r="C17" s="1" t="n">
        <v>3</v>
      </c>
      <c r="D17" s="0" t="s">
        <v>15</v>
      </c>
      <c r="E17" s="1" t="n">
        <f aca="false">crudos!E17+crudos!F17</f>
        <v>0</v>
      </c>
      <c r="F17" s="1" t="n">
        <f aca="false">crudos!G17+crudos!H17</f>
        <v>0</v>
      </c>
      <c r="G17" s="1" t="n">
        <f aca="false">crudos!I17+crudos!J17</f>
        <v>0</v>
      </c>
      <c r="H17" s="2"/>
      <c r="I17" s="1"/>
      <c r="J17" s="1"/>
      <c r="K17" s="14"/>
      <c r="L17" s="27" t="n">
        <v>2</v>
      </c>
      <c r="M17" s="43" t="n">
        <v>17</v>
      </c>
      <c r="N17" s="44" t="n">
        <v>8</v>
      </c>
      <c r="O17" s="44" t="n">
        <v>4</v>
      </c>
      <c r="P17" s="45" t="n">
        <v>2</v>
      </c>
      <c r="Q17" s="1" t="s">
        <v>35</v>
      </c>
      <c r="R17" s="1" t="n">
        <v>28</v>
      </c>
      <c r="S17" s="1" t="n">
        <v>7</v>
      </c>
      <c r="T17" s="1" t="n">
        <v>9</v>
      </c>
      <c r="U17" s="1" t="n">
        <f aca="false">SUM(R17:T17)</f>
        <v>44</v>
      </c>
      <c r="V17" s="1" t="n">
        <v>0</v>
      </c>
      <c r="W17" s="1" t="n">
        <f aca="false">R17-V17</f>
        <v>28</v>
      </c>
      <c r="X17" s="1" t="n">
        <f aca="false">S17-V17</f>
        <v>7</v>
      </c>
      <c r="Y17" s="1" t="n">
        <f aca="false">T17-V17</f>
        <v>9</v>
      </c>
      <c r="Z17" s="1" t="n">
        <f aca="false">U17-V17</f>
        <v>44</v>
      </c>
      <c r="AB17" s="0" t="s">
        <v>37</v>
      </c>
      <c r="AC17" s="0" t="s">
        <v>147</v>
      </c>
      <c r="AD17" s="0" t="n">
        <v>10</v>
      </c>
      <c r="AE17" s="0" t="n">
        <v>2.7</v>
      </c>
      <c r="AF17" s="0" t="n">
        <v>2.06</v>
      </c>
      <c r="AG17" s="0" t="n">
        <v>0.65</v>
      </c>
      <c r="AH17" s="0" t="n">
        <v>0</v>
      </c>
      <c r="AI17" s="0" t="n">
        <v>7</v>
      </c>
    </row>
    <row r="18" customFormat="false" ht="15" hidden="false" customHeight="false" outlineLevel="0" collapsed="false">
      <c r="A18" s="4" t="n">
        <v>39427</v>
      </c>
      <c r="B18" s="0" t="s">
        <v>12</v>
      </c>
      <c r="C18" s="1" t="n">
        <v>3</v>
      </c>
      <c r="D18" s="0" t="s">
        <v>16</v>
      </c>
      <c r="E18" s="1" t="n">
        <f aca="false">crudos!E18+crudos!F18</f>
        <v>5</v>
      </c>
      <c r="F18" s="1" t="n">
        <f aca="false">crudos!G18+crudos!H18</f>
        <v>0</v>
      </c>
      <c r="G18" s="1" t="n">
        <f aca="false">crudos!I18+crudos!J18</f>
        <v>3</v>
      </c>
      <c r="H18" s="2"/>
      <c r="I18" s="1"/>
      <c r="J18" s="1"/>
      <c r="K18" s="14"/>
      <c r="L18" s="27" t="n">
        <v>3</v>
      </c>
      <c r="M18" s="43" t="n">
        <v>28</v>
      </c>
      <c r="N18" s="44" t="n">
        <v>7</v>
      </c>
      <c r="O18" s="44" t="n">
        <v>9</v>
      </c>
      <c r="P18" s="45" t="n">
        <v>0</v>
      </c>
      <c r="Q18" s="1" t="s">
        <v>35</v>
      </c>
      <c r="R18" s="1" t="n">
        <v>28</v>
      </c>
      <c r="S18" s="1" t="n">
        <v>2</v>
      </c>
      <c r="T18" s="1" t="n">
        <v>1</v>
      </c>
      <c r="U18" s="1" t="n">
        <f aca="false">SUM(R18:T18)</f>
        <v>31</v>
      </c>
      <c r="V18" s="1" t="n">
        <v>0</v>
      </c>
      <c r="W18" s="1" t="n">
        <f aca="false">R18-V18</f>
        <v>28</v>
      </c>
      <c r="X18" s="1" t="n">
        <f aca="false">S18-V18</f>
        <v>2</v>
      </c>
      <c r="Y18" s="1" t="n">
        <f aca="false">T18-V18</f>
        <v>1</v>
      </c>
      <c r="Z18" s="1" t="n">
        <f aca="false">U18-V18</f>
        <v>31</v>
      </c>
      <c r="AB18" s="0" t="s">
        <v>37</v>
      </c>
      <c r="AC18" s="0" t="s">
        <v>148</v>
      </c>
      <c r="AD18" s="0" t="n">
        <v>10</v>
      </c>
      <c r="AE18" s="0" t="n">
        <v>2.4</v>
      </c>
      <c r="AF18" s="0" t="n">
        <v>2.37</v>
      </c>
      <c r="AG18" s="0" t="n">
        <v>0.75</v>
      </c>
      <c r="AH18" s="0" t="n">
        <v>0</v>
      </c>
      <c r="AI18" s="0" t="n">
        <v>7</v>
      </c>
    </row>
    <row r="19" customFormat="false" ht="15" hidden="false" customHeight="false" outlineLevel="0" collapsed="false">
      <c r="A19" s="4" t="n">
        <v>39427</v>
      </c>
      <c r="B19" s="0" t="s">
        <v>12</v>
      </c>
      <c r="C19" s="1" t="n">
        <v>3</v>
      </c>
      <c r="D19" s="0" t="s">
        <v>17</v>
      </c>
      <c r="E19" s="1" t="n">
        <f aca="false">crudos!E19+crudos!F19</f>
        <v>2</v>
      </c>
      <c r="F19" s="1" t="n">
        <f aca="false">crudos!G19+crudos!H19</f>
        <v>3</v>
      </c>
      <c r="G19" s="1" t="n">
        <f aca="false">crudos!I19+crudos!J19</f>
        <v>2</v>
      </c>
      <c r="H19" s="2"/>
      <c r="I19" s="1"/>
      <c r="J19" s="1"/>
      <c r="K19" s="14"/>
      <c r="L19" s="27" t="n">
        <v>4</v>
      </c>
      <c r="M19" s="43" t="n">
        <v>28</v>
      </c>
      <c r="N19" s="44" t="n">
        <v>2</v>
      </c>
      <c r="O19" s="44" t="n">
        <v>1</v>
      </c>
      <c r="P19" s="45" t="n">
        <v>0</v>
      </c>
      <c r="Q19" s="1" t="s">
        <v>35</v>
      </c>
      <c r="R19" s="1" t="n">
        <v>26</v>
      </c>
      <c r="S19" s="1" t="n">
        <v>4</v>
      </c>
      <c r="T19" s="1" t="n">
        <v>2</v>
      </c>
      <c r="U19" s="1" t="n">
        <f aca="false">SUM(R19:T19)</f>
        <v>32</v>
      </c>
      <c r="V19" s="1" t="n">
        <v>0</v>
      </c>
      <c r="W19" s="1" t="n">
        <f aca="false">R19-V19</f>
        <v>26</v>
      </c>
      <c r="X19" s="1" t="n">
        <f aca="false">S19-V19</f>
        <v>4</v>
      </c>
      <c r="Y19" s="1" t="n">
        <f aca="false">T19-V19</f>
        <v>2</v>
      </c>
      <c r="Z19" s="1" t="n">
        <f aca="false">U19-V19</f>
        <v>32</v>
      </c>
      <c r="AB19" s="0" t="s">
        <v>37</v>
      </c>
      <c r="AC19" s="0" t="s">
        <v>149</v>
      </c>
      <c r="AD19" s="0" t="n">
        <v>10</v>
      </c>
      <c r="AE19" s="0" t="n">
        <v>6.7</v>
      </c>
      <c r="AF19" s="0" t="n">
        <v>4.79</v>
      </c>
      <c r="AG19" s="0" t="n">
        <v>1.51</v>
      </c>
      <c r="AH19" s="0" t="n">
        <v>0</v>
      </c>
      <c r="AI19" s="0" t="n">
        <v>14</v>
      </c>
    </row>
    <row r="20" customFormat="false" ht="15" hidden="false" customHeight="false" outlineLevel="0" collapsed="false">
      <c r="A20" s="4" t="n">
        <v>39427</v>
      </c>
      <c r="B20" s="0" t="s">
        <v>12</v>
      </c>
      <c r="C20" s="1" t="n">
        <v>3</v>
      </c>
      <c r="D20" s="0" t="s">
        <v>18</v>
      </c>
      <c r="E20" s="1" t="n">
        <f aca="false">crudos!E20+crudos!F20</f>
        <v>1</v>
      </c>
      <c r="F20" s="1" t="n">
        <f aca="false">crudos!G20+crudos!H20</f>
        <v>0</v>
      </c>
      <c r="G20" s="1" t="n">
        <f aca="false">crudos!I20+crudos!J20</f>
        <v>0</v>
      </c>
      <c r="H20" s="2"/>
      <c r="I20" s="1"/>
      <c r="J20" s="1"/>
      <c r="K20" s="14"/>
      <c r="L20" s="27" t="n">
        <v>5</v>
      </c>
      <c r="M20" s="43" t="n">
        <v>26</v>
      </c>
      <c r="N20" s="44" t="n">
        <v>4</v>
      </c>
      <c r="O20" s="44" t="n">
        <v>2</v>
      </c>
      <c r="P20" s="45" t="n">
        <v>0</v>
      </c>
      <c r="Q20" s="1" t="s">
        <v>35</v>
      </c>
      <c r="R20" s="1" t="n">
        <v>11</v>
      </c>
      <c r="S20" s="1" t="n">
        <v>19</v>
      </c>
      <c r="T20" s="1" t="n">
        <v>9</v>
      </c>
      <c r="U20" s="1" t="n">
        <f aca="false">SUM(R20:T20)</f>
        <v>39</v>
      </c>
      <c r="V20" s="1" t="n">
        <v>0</v>
      </c>
      <c r="W20" s="1" t="n">
        <f aca="false">R20-V20</f>
        <v>11</v>
      </c>
      <c r="X20" s="1" t="n">
        <f aca="false">S20-V20</f>
        <v>19</v>
      </c>
      <c r="Y20" s="1" t="n">
        <f aca="false">T20-V20</f>
        <v>9</v>
      </c>
      <c r="Z20" s="1" t="n">
        <f aca="false">U20-V20</f>
        <v>39</v>
      </c>
      <c r="AB20" s="0" t="s">
        <v>37</v>
      </c>
      <c r="AC20" s="60" t="s">
        <v>150</v>
      </c>
      <c r="AD20" s="60" t="n">
        <v>10</v>
      </c>
      <c r="AE20" s="60" t="n">
        <v>1.9</v>
      </c>
      <c r="AF20" s="60" t="n">
        <v>2.23</v>
      </c>
      <c r="AG20" s="60" t="n">
        <v>0.71</v>
      </c>
      <c r="AH20" s="60" t="n">
        <v>0</v>
      </c>
      <c r="AI20" s="60" t="n">
        <v>7</v>
      </c>
    </row>
    <row r="21" customFormat="false" ht="15" hidden="false" customHeight="false" outlineLevel="0" collapsed="false">
      <c r="A21" s="4" t="n">
        <v>39427</v>
      </c>
      <c r="B21" s="0" t="s">
        <v>12</v>
      </c>
      <c r="C21" s="1" t="n">
        <v>4</v>
      </c>
      <c r="D21" s="0" t="s">
        <v>13</v>
      </c>
      <c r="E21" s="1" t="n">
        <f aca="false">crudos!E21+crudos!F21</f>
        <v>0</v>
      </c>
      <c r="F21" s="1" t="n">
        <f aca="false">crudos!G21+crudos!H21</f>
        <v>0</v>
      </c>
      <c r="G21" s="1" t="n">
        <f aca="false">crudos!I21+crudos!J21</f>
        <v>0</v>
      </c>
      <c r="H21" s="2" t="n">
        <v>0</v>
      </c>
      <c r="I21" s="1"/>
      <c r="J21" s="1"/>
      <c r="K21" s="14"/>
      <c r="L21" s="27" t="n">
        <v>6</v>
      </c>
      <c r="M21" s="43" t="n">
        <v>11</v>
      </c>
      <c r="N21" s="44" t="n">
        <v>19</v>
      </c>
      <c r="O21" s="44" t="n">
        <v>9</v>
      </c>
      <c r="P21" s="45" t="n">
        <v>0</v>
      </c>
      <c r="Q21" s="1" t="s">
        <v>35</v>
      </c>
      <c r="R21" s="1" t="n">
        <v>29</v>
      </c>
      <c r="S21" s="1" t="n">
        <v>9</v>
      </c>
      <c r="T21" s="1" t="n">
        <v>8</v>
      </c>
      <c r="U21" s="1" t="n">
        <f aca="false">SUM(R21:T21)</f>
        <v>46</v>
      </c>
      <c r="V21" s="1" t="n">
        <v>2</v>
      </c>
      <c r="W21" s="1" t="n">
        <f aca="false">R21-V21</f>
        <v>27</v>
      </c>
      <c r="X21" s="1" t="n">
        <f aca="false">S21-V21</f>
        <v>7</v>
      </c>
      <c r="Y21" s="1" t="n">
        <f aca="false">T21-V21</f>
        <v>6</v>
      </c>
      <c r="Z21" s="1" t="n">
        <f aca="false">U21-V21</f>
        <v>44</v>
      </c>
      <c r="AB21" s="0" t="s">
        <v>37</v>
      </c>
      <c r="AC21" s="0" t="s">
        <v>151</v>
      </c>
      <c r="AD21" s="0" t="n">
        <v>10</v>
      </c>
      <c r="AE21" s="0" t="n">
        <v>-0.3</v>
      </c>
      <c r="AF21" s="0" t="n">
        <v>3.4</v>
      </c>
      <c r="AG21" s="0" t="n">
        <v>1.08</v>
      </c>
      <c r="AH21" s="0" t="n">
        <v>-7</v>
      </c>
      <c r="AI21" s="0" t="n">
        <v>5</v>
      </c>
    </row>
    <row r="22" customFormat="false" ht="15" hidden="false" customHeight="false" outlineLevel="0" collapsed="false">
      <c r="A22" s="4" t="n">
        <v>39427</v>
      </c>
      <c r="B22" s="0" t="s">
        <v>12</v>
      </c>
      <c r="C22" s="1" t="n">
        <v>4</v>
      </c>
      <c r="D22" s="0" t="s">
        <v>14</v>
      </c>
      <c r="E22" s="1" t="n">
        <f aca="false">crudos!E22+crudos!F22</f>
        <v>2</v>
      </c>
      <c r="F22" s="1" t="n">
        <f aca="false">crudos!G22+crudos!H22</f>
        <v>0</v>
      </c>
      <c r="G22" s="1" t="n">
        <f aca="false">crudos!I22+crudos!J22</f>
        <v>0</v>
      </c>
      <c r="H22" s="2"/>
      <c r="I22" s="1"/>
      <c r="J22" s="1"/>
      <c r="K22" s="14"/>
      <c r="L22" s="27" t="n">
        <v>7</v>
      </c>
      <c r="M22" s="43" t="n">
        <v>29</v>
      </c>
      <c r="N22" s="44" t="n">
        <v>9</v>
      </c>
      <c r="O22" s="44" t="n">
        <v>8</v>
      </c>
      <c r="P22" s="45" t="n">
        <v>2</v>
      </c>
      <c r="Q22" s="1" t="s">
        <v>35</v>
      </c>
      <c r="R22" s="1" t="n">
        <v>19</v>
      </c>
      <c r="S22" s="1" t="n">
        <v>0</v>
      </c>
      <c r="T22" s="1" t="n">
        <v>6</v>
      </c>
      <c r="U22" s="1" t="n">
        <f aca="false">SUM(R22:T22)</f>
        <v>25</v>
      </c>
      <c r="V22" s="1" t="n">
        <v>1</v>
      </c>
      <c r="W22" s="1" t="n">
        <f aca="false">R22-V22</f>
        <v>18</v>
      </c>
      <c r="X22" s="1" t="n">
        <f aca="false">S22-V22</f>
        <v>-1</v>
      </c>
      <c r="Y22" s="1" t="n">
        <f aca="false">T22-V22</f>
        <v>5</v>
      </c>
      <c r="Z22" s="1" t="n">
        <f aca="false">U22-V22</f>
        <v>24</v>
      </c>
      <c r="AB22" s="0" t="s">
        <v>37</v>
      </c>
      <c r="AC22" s="0" t="s">
        <v>152</v>
      </c>
      <c r="AD22" s="0" t="n">
        <v>10</v>
      </c>
      <c r="AE22" s="0" t="n">
        <v>0.8</v>
      </c>
      <c r="AF22" s="0" t="n">
        <v>3.74</v>
      </c>
      <c r="AG22" s="0" t="n">
        <v>1.18</v>
      </c>
      <c r="AH22" s="0" t="n">
        <v>-7</v>
      </c>
      <c r="AI22" s="0" t="n">
        <v>7</v>
      </c>
    </row>
    <row r="23" customFormat="false" ht="15" hidden="false" customHeight="false" outlineLevel="0" collapsed="false">
      <c r="A23" s="4" t="n">
        <v>39427</v>
      </c>
      <c r="B23" s="0" t="s">
        <v>12</v>
      </c>
      <c r="C23" s="1" t="n">
        <v>4</v>
      </c>
      <c r="D23" s="0" t="s">
        <v>15</v>
      </c>
      <c r="E23" s="1" t="n">
        <f aca="false">crudos!E23+crudos!F23</f>
        <v>0</v>
      </c>
      <c r="F23" s="1" t="n">
        <f aca="false">crudos!G23+crudos!H23</f>
        <v>0</v>
      </c>
      <c r="G23" s="1" t="n">
        <f aca="false">crudos!I23+crudos!J23</f>
        <v>0</v>
      </c>
      <c r="H23" s="2"/>
      <c r="I23" s="1"/>
      <c r="J23" s="1"/>
      <c r="K23" s="14"/>
      <c r="L23" s="27" t="n">
        <v>8</v>
      </c>
      <c r="M23" s="43" t="n">
        <v>19</v>
      </c>
      <c r="N23" s="44" t="n">
        <v>0</v>
      </c>
      <c r="O23" s="44" t="n">
        <v>6</v>
      </c>
      <c r="P23" s="45" t="n">
        <v>1</v>
      </c>
      <c r="Q23" s="1" t="s">
        <v>35</v>
      </c>
      <c r="R23" s="1" t="n">
        <v>37</v>
      </c>
      <c r="S23" s="1" t="n">
        <v>10</v>
      </c>
      <c r="T23" s="1" t="n">
        <v>5</v>
      </c>
      <c r="U23" s="1" t="n">
        <f aca="false">SUM(R23:T23)</f>
        <v>52</v>
      </c>
      <c r="V23" s="1" t="n">
        <v>0</v>
      </c>
      <c r="W23" s="1" t="n">
        <f aca="false">R23-V23</f>
        <v>37</v>
      </c>
      <c r="X23" s="1" t="n">
        <f aca="false">S23-V23</f>
        <v>10</v>
      </c>
      <c r="Y23" s="1" t="n">
        <f aca="false">T23-V23</f>
        <v>5</v>
      </c>
      <c r="Z23" s="1" t="n">
        <f aca="false">U23-V23</f>
        <v>52</v>
      </c>
      <c r="AB23" s="0" t="s">
        <v>37</v>
      </c>
      <c r="AC23" s="0" t="s">
        <v>153</v>
      </c>
      <c r="AD23" s="0" t="n">
        <v>10</v>
      </c>
      <c r="AE23" s="0" t="n">
        <v>0.5</v>
      </c>
      <c r="AF23" s="0" t="n">
        <v>3.92</v>
      </c>
      <c r="AG23" s="0" t="n">
        <v>1.24</v>
      </c>
      <c r="AH23" s="0" t="n">
        <v>-7</v>
      </c>
      <c r="AI23" s="0" t="n">
        <v>7</v>
      </c>
    </row>
    <row r="24" customFormat="false" ht="15" hidden="false" customHeight="false" outlineLevel="0" collapsed="false">
      <c r="A24" s="4" t="n">
        <v>39427</v>
      </c>
      <c r="B24" s="0" t="s">
        <v>12</v>
      </c>
      <c r="C24" s="1" t="n">
        <v>4</v>
      </c>
      <c r="D24" s="0" t="s">
        <v>16</v>
      </c>
      <c r="E24" s="1" t="n">
        <f aca="false">crudos!E24+crudos!F24</f>
        <v>0</v>
      </c>
      <c r="F24" s="1" t="n">
        <f aca="false">crudos!G24+crudos!H24</f>
        <v>0</v>
      </c>
      <c r="G24" s="1" t="n">
        <f aca="false">crudos!I24+crudos!J24</f>
        <v>0</v>
      </c>
      <c r="H24" s="2"/>
      <c r="I24" s="1"/>
      <c r="J24" s="1"/>
      <c r="K24" s="14"/>
      <c r="L24" s="27" t="n">
        <v>9</v>
      </c>
      <c r="M24" s="43" t="n">
        <v>37</v>
      </c>
      <c r="N24" s="44" t="n">
        <v>10</v>
      </c>
      <c r="O24" s="44" t="n">
        <v>5</v>
      </c>
      <c r="P24" s="45" t="n">
        <v>0</v>
      </c>
      <c r="Q24" s="1" t="s">
        <v>35</v>
      </c>
      <c r="R24" s="1" t="n">
        <v>29</v>
      </c>
      <c r="S24" s="1" t="n">
        <v>3</v>
      </c>
      <c r="T24" s="1" t="n">
        <v>12</v>
      </c>
      <c r="U24" s="1" t="n">
        <f aca="false">SUM(R24:T24)</f>
        <v>44</v>
      </c>
      <c r="V24" s="1" t="n">
        <v>0</v>
      </c>
      <c r="W24" s="1" t="n">
        <f aca="false">R24-V24</f>
        <v>29</v>
      </c>
      <c r="X24" s="1" t="n">
        <f aca="false">S24-V24</f>
        <v>3</v>
      </c>
      <c r="Y24" s="1" t="n">
        <f aca="false">T24-V24</f>
        <v>12</v>
      </c>
      <c r="Z24" s="1" t="n">
        <f aca="false">U24-V24</f>
        <v>44</v>
      </c>
      <c r="AB24" s="0" t="s">
        <v>37</v>
      </c>
      <c r="AC24" s="0" t="s">
        <v>154</v>
      </c>
      <c r="AD24" s="0" t="n">
        <v>10</v>
      </c>
      <c r="AE24" s="0" t="n">
        <v>4.8</v>
      </c>
      <c r="AF24" s="0" t="n">
        <v>6.3</v>
      </c>
      <c r="AG24" s="0" t="n">
        <v>1.99</v>
      </c>
      <c r="AH24" s="0" t="n">
        <v>-7</v>
      </c>
      <c r="AI24" s="0" t="n">
        <v>14</v>
      </c>
    </row>
    <row r="25" customFormat="false" ht="15" hidden="false" customHeight="false" outlineLevel="0" collapsed="false">
      <c r="A25" s="4" t="n">
        <v>39427</v>
      </c>
      <c r="B25" s="0" t="s">
        <v>12</v>
      </c>
      <c r="C25" s="1" t="n">
        <v>4</v>
      </c>
      <c r="D25" s="0" t="s">
        <v>17</v>
      </c>
      <c r="E25" s="1" t="n">
        <f aca="false">crudos!E25+crudos!F25</f>
        <v>3</v>
      </c>
      <c r="F25" s="1" t="n">
        <f aca="false">crudos!G25+crudos!H25</f>
        <v>3</v>
      </c>
      <c r="G25" s="1" t="n">
        <f aca="false">crudos!I25+crudos!J25</f>
        <v>4</v>
      </c>
      <c r="H25" s="2"/>
      <c r="I25" s="1"/>
      <c r="J25" s="1"/>
      <c r="K25" s="28"/>
      <c r="L25" s="29" t="n">
        <v>10</v>
      </c>
      <c r="M25" s="47" t="n">
        <v>29</v>
      </c>
      <c r="N25" s="48" t="n">
        <v>3</v>
      </c>
      <c r="O25" s="48" t="n">
        <v>12</v>
      </c>
      <c r="P25" s="49" t="n">
        <v>0</v>
      </c>
      <c r="Q25" s="1" t="s">
        <v>36</v>
      </c>
      <c r="R25" s="1" t="n">
        <v>9</v>
      </c>
      <c r="S25" s="1" t="n">
        <v>3</v>
      </c>
      <c r="T25" s="1" t="n">
        <v>5</v>
      </c>
      <c r="U25" s="1" t="n">
        <f aca="false">SUM(R25:T25)</f>
        <v>17</v>
      </c>
      <c r="V25" s="1" t="n">
        <v>0</v>
      </c>
      <c r="W25" s="1" t="n">
        <f aca="false">R25-V25</f>
        <v>9</v>
      </c>
      <c r="X25" s="1" t="n">
        <f aca="false">S25-V25</f>
        <v>3</v>
      </c>
      <c r="Y25" s="1" t="n">
        <f aca="false">T25-V25</f>
        <v>5</v>
      </c>
      <c r="Z25" s="1" t="n">
        <f aca="false">U25-V25</f>
        <v>17</v>
      </c>
      <c r="AB25" s="0" t="s">
        <v>39</v>
      </c>
      <c r="AC25" s="0" t="s">
        <v>146</v>
      </c>
      <c r="AD25" s="0" t="n">
        <v>10</v>
      </c>
      <c r="AE25" s="0" t="n">
        <v>16.5</v>
      </c>
      <c r="AF25" s="0" t="n">
        <v>8.07</v>
      </c>
      <c r="AG25" s="0" t="n">
        <v>2.55</v>
      </c>
      <c r="AH25" s="0" t="n">
        <v>5</v>
      </c>
      <c r="AI25" s="0" t="n">
        <v>32</v>
      </c>
    </row>
    <row r="26" customFormat="false" ht="15" hidden="false" customHeight="false" outlineLevel="0" collapsed="false">
      <c r="A26" s="4" t="n">
        <v>39427</v>
      </c>
      <c r="B26" s="0" t="s">
        <v>12</v>
      </c>
      <c r="C26" s="1" t="n">
        <v>4</v>
      </c>
      <c r="D26" s="0" t="s">
        <v>18</v>
      </c>
      <c r="E26" s="1" t="n">
        <f aca="false">crudos!E26+crudos!F26</f>
        <v>0</v>
      </c>
      <c r="F26" s="1" t="n">
        <f aca="false">crudos!G26+crudos!H26</f>
        <v>0</v>
      </c>
      <c r="G26" s="1" t="n">
        <f aca="false">crudos!I26+crudos!J26</f>
        <v>0</v>
      </c>
      <c r="H26" s="2"/>
      <c r="I26" s="1"/>
      <c r="J26" s="1"/>
      <c r="K26" s="8" t="s">
        <v>21</v>
      </c>
      <c r="L26" s="26"/>
      <c r="M26" s="39" t="n">
        <v>154</v>
      </c>
      <c r="N26" s="40" t="n">
        <v>27</v>
      </c>
      <c r="O26" s="40" t="n">
        <v>34</v>
      </c>
      <c r="P26" s="41" t="n">
        <v>29</v>
      </c>
      <c r="Q26" s="1" t="s">
        <v>36</v>
      </c>
      <c r="R26" s="1" t="n">
        <v>10</v>
      </c>
      <c r="S26" s="1" t="n">
        <v>4</v>
      </c>
      <c r="T26" s="1" t="n">
        <v>3</v>
      </c>
      <c r="U26" s="1" t="n">
        <f aca="false">SUM(R26:T26)</f>
        <v>17</v>
      </c>
      <c r="V26" s="1" t="n">
        <v>0</v>
      </c>
      <c r="W26" s="1" t="n">
        <f aca="false">R26-V26</f>
        <v>10</v>
      </c>
      <c r="X26" s="1" t="n">
        <f aca="false">S26-V26</f>
        <v>4</v>
      </c>
      <c r="Y26" s="1" t="n">
        <f aca="false">T26-V26</f>
        <v>3</v>
      </c>
      <c r="Z26" s="1" t="n">
        <f aca="false">U26-V26</f>
        <v>17</v>
      </c>
      <c r="AB26" s="0" t="s">
        <v>39</v>
      </c>
      <c r="AC26" s="0" t="s">
        <v>147</v>
      </c>
      <c r="AD26" s="0" t="n">
        <v>10</v>
      </c>
      <c r="AE26" s="0" t="n">
        <v>3.3</v>
      </c>
      <c r="AF26" s="0" t="n">
        <v>1.49</v>
      </c>
      <c r="AG26" s="0" t="n">
        <v>0.47</v>
      </c>
      <c r="AH26" s="0" t="n">
        <v>1</v>
      </c>
      <c r="AI26" s="0" t="n">
        <v>6</v>
      </c>
    </row>
    <row r="27" customFormat="false" ht="15" hidden="false" customHeight="false" outlineLevel="0" collapsed="false">
      <c r="A27" s="4" t="n">
        <v>39427</v>
      </c>
      <c r="B27" s="0" t="s">
        <v>12</v>
      </c>
      <c r="C27" s="1" t="n">
        <v>5</v>
      </c>
      <c r="D27" s="0" t="s">
        <v>13</v>
      </c>
      <c r="E27" s="1" t="n">
        <f aca="false">crudos!E27+crudos!F27</f>
        <v>1</v>
      </c>
      <c r="F27" s="1" t="n">
        <f aca="false">crudos!G27+crudos!H27</f>
        <v>0</v>
      </c>
      <c r="G27" s="1" t="n">
        <f aca="false">crudos!I27+crudos!J27</f>
        <v>0</v>
      </c>
      <c r="H27" s="2" t="n">
        <v>1</v>
      </c>
      <c r="I27" s="1"/>
      <c r="J27" s="1"/>
      <c r="K27" s="14"/>
      <c r="L27" s="27" t="n">
        <v>1</v>
      </c>
      <c r="M27" s="43" t="n">
        <v>9</v>
      </c>
      <c r="N27" s="44" t="n">
        <v>3</v>
      </c>
      <c r="O27" s="44" t="n">
        <v>5</v>
      </c>
      <c r="P27" s="45" t="n">
        <v>0</v>
      </c>
      <c r="Q27" s="1" t="s">
        <v>36</v>
      </c>
      <c r="R27" s="1" t="n">
        <v>18</v>
      </c>
      <c r="S27" s="1" t="n">
        <v>5</v>
      </c>
      <c r="T27" s="1" t="n">
        <v>4</v>
      </c>
      <c r="U27" s="1" t="n">
        <f aca="false">SUM(R27:T27)</f>
        <v>27</v>
      </c>
      <c r="V27" s="1" t="n">
        <v>0</v>
      </c>
      <c r="W27" s="1" t="n">
        <f aca="false">R27-V27</f>
        <v>18</v>
      </c>
      <c r="X27" s="1" t="n">
        <f aca="false">S27-V27</f>
        <v>5</v>
      </c>
      <c r="Y27" s="1" t="n">
        <f aca="false">T27-V27</f>
        <v>4</v>
      </c>
      <c r="Z27" s="1" t="n">
        <f aca="false">U27-V27</f>
        <v>27</v>
      </c>
      <c r="AB27" s="0" t="s">
        <v>39</v>
      </c>
      <c r="AC27" s="0" t="s">
        <v>148</v>
      </c>
      <c r="AD27" s="0" t="n">
        <v>10</v>
      </c>
      <c r="AE27" s="0" t="n">
        <v>3.7</v>
      </c>
      <c r="AF27" s="0" t="n">
        <v>3.2</v>
      </c>
      <c r="AG27" s="0" t="n">
        <v>1.01</v>
      </c>
      <c r="AH27" s="0" t="n">
        <v>0</v>
      </c>
      <c r="AI27" s="0" t="n">
        <v>11</v>
      </c>
    </row>
    <row r="28" customFormat="false" ht="15" hidden="false" customHeight="false" outlineLevel="0" collapsed="false">
      <c r="A28" s="4" t="n">
        <v>39427</v>
      </c>
      <c r="B28" s="0" t="s">
        <v>12</v>
      </c>
      <c r="C28" s="1" t="n">
        <v>5</v>
      </c>
      <c r="D28" s="0" t="s">
        <v>14</v>
      </c>
      <c r="E28" s="1" t="n">
        <f aca="false">crudos!E28+crudos!F28</f>
        <v>4</v>
      </c>
      <c r="F28" s="1" t="n">
        <f aca="false">crudos!G28+crudos!H28</f>
        <v>0</v>
      </c>
      <c r="G28" s="1" t="n">
        <f aca="false">crudos!I28+crudos!J28</f>
        <v>0</v>
      </c>
      <c r="H28" s="2"/>
      <c r="I28" s="1"/>
      <c r="J28" s="1"/>
      <c r="K28" s="14"/>
      <c r="L28" s="27" t="n">
        <v>2</v>
      </c>
      <c r="M28" s="43" t="n">
        <v>10</v>
      </c>
      <c r="N28" s="44" t="n">
        <v>4</v>
      </c>
      <c r="O28" s="44" t="n">
        <v>3</v>
      </c>
      <c r="P28" s="45" t="n">
        <v>0</v>
      </c>
      <c r="Q28" s="1" t="s">
        <v>36</v>
      </c>
      <c r="R28" s="1" t="n">
        <v>12</v>
      </c>
      <c r="S28" s="1" t="n">
        <v>0</v>
      </c>
      <c r="T28" s="1" t="n">
        <v>5</v>
      </c>
      <c r="U28" s="1" t="n">
        <f aca="false">SUM(R28:T28)</f>
        <v>17</v>
      </c>
      <c r="V28" s="1" t="n">
        <v>0</v>
      </c>
      <c r="W28" s="1" t="n">
        <f aca="false">R28-V28</f>
        <v>12</v>
      </c>
      <c r="X28" s="1" t="n">
        <f aca="false">S28-V28</f>
        <v>0</v>
      </c>
      <c r="Y28" s="1" t="n">
        <f aca="false">T28-V28</f>
        <v>5</v>
      </c>
      <c r="Z28" s="1" t="n">
        <f aca="false">U28-V28</f>
        <v>17</v>
      </c>
      <c r="AB28" s="0" t="s">
        <v>39</v>
      </c>
      <c r="AC28" s="0" t="s">
        <v>149</v>
      </c>
      <c r="AD28" s="0" t="n">
        <v>10</v>
      </c>
      <c r="AE28" s="0" t="n">
        <v>23.5</v>
      </c>
      <c r="AF28" s="0" t="n">
        <v>10.05</v>
      </c>
      <c r="AG28" s="0" t="n">
        <v>3.18</v>
      </c>
      <c r="AH28" s="0" t="n">
        <v>12</v>
      </c>
      <c r="AI28" s="0" t="n">
        <v>41</v>
      </c>
    </row>
    <row r="29" customFormat="false" ht="15" hidden="false" customHeight="false" outlineLevel="0" collapsed="false">
      <c r="A29" s="4" t="n">
        <v>39427</v>
      </c>
      <c r="B29" s="0" t="s">
        <v>12</v>
      </c>
      <c r="C29" s="1" t="n">
        <v>5</v>
      </c>
      <c r="D29" s="0" t="s">
        <v>15</v>
      </c>
      <c r="E29" s="1" t="n">
        <f aca="false">crudos!E29+crudos!F29</f>
        <v>4</v>
      </c>
      <c r="F29" s="1" t="n">
        <f aca="false">crudos!G29+crudos!H29</f>
        <v>1</v>
      </c>
      <c r="G29" s="1" t="n">
        <f aca="false">crudos!I29+crudos!J29</f>
        <v>0</v>
      </c>
      <c r="H29" s="2"/>
      <c r="I29" s="1"/>
      <c r="J29" s="1"/>
      <c r="K29" s="14"/>
      <c r="L29" s="27" t="n">
        <v>3</v>
      </c>
      <c r="M29" s="43" t="n">
        <v>18</v>
      </c>
      <c r="N29" s="44" t="n">
        <v>5</v>
      </c>
      <c r="O29" s="44" t="n">
        <v>4</v>
      </c>
      <c r="P29" s="45" t="n">
        <v>0</v>
      </c>
      <c r="Q29" s="1" t="s">
        <v>36</v>
      </c>
      <c r="R29" s="1" t="n">
        <v>20</v>
      </c>
      <c r="S29" s="1" t="n">
        <v>5</v>
      </c>
      <c r="T29" s="1" t="n">
        <v>6</v>
      </c>
      <c r="U29" s="1" t="n">
        <f aca="false">SUM(R29:T29)</f>
        <v>31</v>
      </c>
      <c r="V29" s="1" t="n">
        <v>3</v>
      </c>
      <c r="W29" s="1" t="n">
        <f aca="false">R29-V29</f>
        <v>17</v>
      </c>
      <c r="X29" s="1" t="n">
        <f aca="false">S29-V29</f>
        <v>2</v>
      </c>
      <c r="Y29" s="1" t="n">
        <f aca="false">T29-V29</f>
        <v>3</v>
      </c>
      <c r="Z29" s="1" t="n">
        <f aca="false">U29-V29</f>
        <v>28</v>
      </c>
      <c r="AB29" s="0" t="s">
        <v>39</v>
      </c>
      <c r="AC29" s="60" t="s">
        <v>150</v>
      </c>
      <c r="AD29" s="60" t="n">
        <v>10</v>
      </c>
      <c r="AE29" s="60" t="n">
        <v>0.2</v>
      </c>
      <c r="AF29" s="60" t="n">
        <v>0.42</v>
      </c>
      <c r="AG29" s="60" t="n">
        <v>0.13</v>
      </c>
      <c r="AH29" s="60" t="n">
        <v>0</v>
      </c>
      <c r="AI29" s="60" t="n">
        <v>1</v>
      </c>
    </row>
    <row r="30" customFormat="false" ht="15" hidden="false" customHeight="false" outlineLevel="0" collapsed="false">
      <c r="A30" s="4" t="n">
        <v>39427</v>
      </c>
      <c r="B30" s="0" t="s">
        <v>12</v>
      </c>
      <c r="C30" s="1" t="n">
        <v>5</v>
      </c>
      <c r="D30" s="0" t="s">
        <v>16</v>
      </c>
      <c r="E30" s="1" t="n">
        <f aca="false">crudos!E30+crudos!F30</f>
        <v>1</v>
      </c>
      <c r="F30" s="1" t="n">
        <f aca="false">crudos!G30+crudos!H30</f>
        <v>1</v>
      </c>
      <c r="G30" s="1" t="n">
        <f aca="false">crudos!I30+crudos!J30</f>
        <v>1</v>
      </c>
      <c r="H30" s="2"/>
      <c r="I30" s="1"/>
      <c r="J30" s="1"/>
      <c r="K30" s="14"/>
      <c r="L30" s="27" t="n">
        <v>4</v>
      </c>
      <c r="M30" s="43" t="n">
        <v>12</v>
      </c>
      <c r="N30" s="44" t="n">
        <v>0</v>
      </c>
      <c r="O30" s="44" t="n">
        <v>5</v>
      </c>
      <c r="P30" s="45" t="n">
        <v>0</v>
      </c>
      <c r="Q30" s="1" t="s">
        <v>36</v>
      </c>
      <c r="R30" s="1" t="n">
        <v>16</v>
      </c>
      <c r="S30" s="1" t="n">
        <v>0</v>
      </c>
      <c r="T30" s="1" t="n">
        <v>0</v>
      </c>
      <c r="U30" s="1" t="n">
        <f aca="false">SUM(R30:T30)</f>
        <v>16</v>
      </c>
      <c r="V30" s="1" t="n">
        <v>2</v>
      </c>
      <c r="W30" s="1" t="n">
        <f aca="false">R30-V30</f>
        <v>14</v>
      </c>
      <c r="X30" s="1" t="n">
        <f aca="false">S30-V30</f>
        <v>-2</v>
      </c>
      <c r="Y30" s="1" t="n">
        <f aca="false">T30-V30</f>
        <v>-2</v>
      </c>
      <c r="Z30" s="1" t="n">
        <f aca="false">U30-V30</f>
        <v>14</v>
      </c>
      <c r="AB30" s="0" t="s">
        <v>39</v>
      </c>
      <c r="AC30" s="0" t="s">
        <v>151</v>
      </c>
      <c r="AD30" s="0" t="n">
        <v>10</v>
      </c>
      <c r="AE30" s="0" t="n">
        <v>16.3</v>
      </c>
      <c r="AF30" s="0" t="n">
        <v>8.08</v>
      </c>
      <c r="AG30" s="0" t="n">
        <v>2.56</v>
      </c>
      <c r="AH30" s="0" t="n">
        <v>5</v>
      </c>
      <c r="AI30" s="0" t="n">
        <v>32</v>
      </c>
    </row>
    <row r="31" customFormat="false" ht="15" hidden="false" customHeight="false" outlineLevel="0" collapsed="false">
      <c r="A31" s="4" t="n">
        <v>39427</v>
      </c>
      <c r="B31" s="0" t="s">
        <v>12</v>
      </c>
      <c r="C31" s="1" t="n">
        <v>5</v>
      </c>
      <c r="D31" s="0" t="s">
        <v>17</v>
      </c>
      <c r="E31" s="1" t="n">
        <f aca="false">crudos!E31+crudos!F31</f>
        <v>2</v>
      </c>
      <c r="F31" s="1" t="n">
        <f aca="false">crudos!G31+crudos!H31</f>
        <v>2</v>
      </c>
      <c r="G31" s="1" t="n">
        <f aca="false">crudos!I31+crudos!J31</f>
        <v>0</v>
      </c>
      <c r="H31" s="2"/>
      <c r="I31" s="1"/>
      <c r="J31" s="1"/>
      <c r="K31" s="14"/>
      <c r="L31" s="27" t="n">
        <v>5</v>
      </c>
      <c r="M31" s="43" t="n">
        <v>20</v>
      </c>
      <c r="N31" s="44" t="n">
        <v>5</v>
      </c>
      <c r="O31" s="44" t="n">
        <v>6</v>
      </c>
      <c r="P31" s="45" t="n">
        <v>3</v>
      </c>
      <c r="Q31" s="1" t="s">
        <v>36</v>
      </c>
      <c r="R31" s="1" t="n">
        <v>21</v>
      </c>
      <c r="S31" s="1" t="n">
        <v>5</v>
      </c>
      <c r="T31" s="1" t="n">
        <v>4</v>
      </c>
      <c r="U31" s="1" t="n">
        <f aca="false">SUM(R31:T31)</f>
        <v>30</v>
      </c>
      <c r="V31" s="1" t="n">
        <v>9</v>
      </c>
      <c r="W31" s="1" t="n">
        <f aca="false">R31-V31</f>
        <v>12</v>
      </c>
      <c r="X31" s="1" t="n">
        <f aca="false">S31-V31</f>
        <v>-4</v>
      </c>
      <c r="Y31" s="1" t="n">
        <f aca="false">T31-V31</f>
        <v>-5</v>
      </c>
      <c r="Z31" s="1" t="n">
        <f aca="false">U31-V31</f>
        <v>21</v>
      </c>
      <c r="AB31" s="0" t="s">
        <v>39</v>
      </c>
      <c r="AC31" s="0" t="s">
        <v>152</v>
      </c>
      <c r="AD31" s="0" t="n">
        <v>10</v>
      </c>
      <c r="AE31" s="0" t="n">
        <v>3.1</v>
      </c>
      <c r="AF31" s="0" t="n">
        <v>1.52</v>
      </c>
      <c r="AG31" s="0" t="n">
        <v>0.48</v>
      </c>
      <c r="AH31" s="0" t="n">
        <v>1</v>
      </c>
      <c r="AI31" s="0" t="n">
        <v>6</v>
      </c>
    </row>
    <row r="32" customFormat="false" ht="15" hidden="false" customHeight="false" outlineLevel="0" collapsed="false">
      <c r="A32" s="4" t="n">
        <v>39427</v>
      </c>
      <c r="B32" s="0" t="s">
        <v>12</v>
      </c>
      <c r="C32" s="1" t="n">
        <v>5</v>
      </c>
      <c r="D32" s="0" t="s">
        <v>18</v>
      </c>
      <c r="E32" s="1" t="n">
        <f aca="false">crudos!E32+crudos!F32</f>
        <v>3</v>
      </c>
      <c r="F32" s="1" t="n">
        <f aca="false">crudos!G32+crudos!H32</f>
        <v>0</v>
      </c>
      <c r="G32" s="1" t="n">
        <f aca="false">crudos!I32+crudos!J32</f>
        <v>0</v>
      </c>
      <c r="H32" s="2"/>
      <c r="I32" s="1"/>
      <c r="J32" s="1"/>
      <c r="K32" s="14"/>
      <c r="L32" s="27" t="n">
        <v>6</v>
      </c>
      <c r="M32" s="43" t="n">
        <v>16</v>
      </c>
      <c r="N32" s="44" t="n">
        <v>0</v>
      </c>
      <c r="O32" s="44" t="n">
        <v>0</v>
      </c>
      <c r="P32" s="45" t="n">
        <v>2</v>
      </c>
      <c r="Q32" s="1" t="s">
        <v>36</v>
      </c>
      <c r="R32" s="1" t="n">
        <v>14</v>
      </c>
      <c r="S32" s="1" t="n">
        <v>3</v>
      </c>
      <c r="T32" s="1" t="n">
        <v>5</v>
      </c>
      <c r="U32" s="1" t="n">
        <f aca="false">SUM(R32:T32)</f>
        <v>22</v>
      </c>
      <c r="V32" s="1" t="n">
        <v>14</v>
      </c>
      <c r="W32" s="1" t="n">
        <f aca="false">R32-V32</f>
        <v>0</v>
      </c>
      <c r="X32" s="1" t="n">
        <f aca="false">S32-V32</f>
        <v>-11</v>
      </c>
      <c r="Y32" s="1" t="n">
        <f aca="false">T32-V32</f>
        <v>-9</v>
      </c>
      <c r="Z32" s="1" t="n">
        <f aca="false">U32-V32</f>
        <v>8</v>
      </c>
      <c r="AB32" s="0" t="s">
        <v>39</v>
      </c>
      <c r="AC32" s="0" t="s">
        <v>153</v>
      </c>
      <c r="AD32" s="0" t="n">
        <v>10</v>
      </c>
      <c r="AE32" s="0" t="n">
        <v>3.5</v>
      </c>
      <c r="AF32" s="0" t="n">
        <v>3.27</v>
      </c>
      <c r="AG32" s="0" t="n">
        <v>1.04</v>
      </c>
      <c r="AH32" s="0" t="n">
        <v>0</v>
      </c>
      <c r="AI32" s="0" t="n">
        <v>11</v>
      </c>
    </row>
    <row r="33" customFormat="false" ht="15" hidden="false" customHeight="false" outlineLevel="0" collapsed="false">
      <c r="A33" s="4" t="n">
        <v>39427</v>
      </c>
      <c r="B33" s="0" t="s">
        <v>12</v>
      </c>
      <c r="C33" s="1" t="n">
        <v>6</v>
      </c>
      <c r="D33" s="0" t="s">
        <v>13</v>
      </c>
      <c r="E33" s="1" t="n">
        <f aca="false">crudos!E33+crudos!F33</f>
        <v>3</v>
      </c>
      <c r="F33" s="1" t="n">
        <f aca="false">crudos!G33+crudos!H33</f>
        <v>0</v>
      </c>
      <c r="G33" s="1" t="n">
        <f aca="false">crudos!I33+crudos!J33</f>
        <v>0</v>
      </c>
      <c r="H33" s="2" t="n">
        <v>0</v>
      </c>
      <c r="I33" s="1"/>
      <c r="J33" s="1"/>
      <c r="K33" s="14"/>
      <c r="L33" s="27" t="n">
        <v>7</v>
      </c>
      <c r="M33" s="43" t="n">
        <v>21</v>
      </c>
      <c r="N33" s="44" t="n">
        <v>5</v>
      </c>
      <c r="O33" s="44" t="n">
        <v>4</v>
      </c>
      <c r="P33" s="45" t="n">
        <v>9</v>
      </c>
      <c r="Q33" s="1" t="s">
        <v>36</v>
      </c>
      <c r="R33" s="1" t="n">
        <v>18</v>
      </c>
      <c r="S33" s="1" t="n">
        <v>0</v>
      </c>
      <c r="T33" s="1" t="n">
        <v>2</v>
      </c>
      <c r="U33" s="1" t="n">
        <f aca="false">SUM(R33:T33)</f>
        <v>20</v>
      </c>
      <c r="V33" s="1" t="n">
        <v>1</v>
      </c>
      <c r="W33" s="1" t="n">
        <f aca="false">R33-V33</f>
        <v>17</v>
      </c>
      <c r="X33" s="1" t="n">
        <f aca="false">S33-V33</f>
        <v>-1</v>
      </c>
      <c r="Y33" s="1" t="n">
        <f aca="false">T33-V33</f>
        <v>1</v>
      </c>
      <c r="Z33" s="1" t="n">
        <f aca="false">U33-V33</f>
        <v>19</v>
      </c>
      <c r="AB33" s="0" t="s">
        <v>39</v>
      </c>
      <c r="AC33" s="0" t="s">
        <v>154</v>
      </c>
      <c r="AD33" s="0" t="n">
        <v>10</v>
      </c>
      <c r="AE33" s="0" t="n">
        <v>23.3</v>
      </c>
      <c r="AF33" s="0" t="n">
        <v>10.07</v>
      </c>
      <c r="AG33" s="0" t="n">
        <v>3.18</v>
      </c>
      <c r="AH33" s="0" t="n">
        <v>12</v>
      </c>
      <c r="AI33" s="0" t="n">
        <v>41</v>
      </c>
    </row>
    <row r="34" customFormat="false" ht="15" hidden="false" customHeight="false" outlineLevel="0" collapsed="false">
      <c r="A34" s="4" t="n">
        <v>39427</v>
      </c>
      <c r="B34" s="0" t="s">
        <v>12</v>
      </c>
      <c r="C34" s="1" t="n">
        <v>6</v>
      </c>
      <c r="D34" s="0" t="s">
        <v>14</v>
      </c>
      <c r="E34" s="1" t="n">
        <f aca="false">crudos!E34+crudos!F34</f>
        <v>5</v>
      </c>
      <c r="F34" s="1" t="n">
        <f aca="false">crudos!G34+crudos!H34</f>
        <v>0</v>
      </c>
      <c r="G34" s="1" t="n">
        <f aca="false">crudos!I34+crudos!J34</f>
        <v>0</v>
      </c>
      <c r="H34" s="2"/>
      <c r="I34" s="1"/>
      <c r="J34" s="1"/>
      <c r="K34" s="14"/>
      <c r="L34" s="27" t="n">
        <v>8</v>
      </c>
      <c r="M34" s="43" t="n">
        <v>14</v>
      </c>
      <c r="N34" s="44" t="n">
        <v>3</v>
      </c>
      <c r="O34" s="44" t="n">
        <v>5</v>
      </c>
      <c r="P34" s="45" t="n">
        <v>14</v>
      </c>
      <c r="Q34" s="1" t="s">
        <v>36</v>
      </c>
      <c r="R34" s="1" t="n">
        <v>16</v>
      </c>
      <c r="S34" s="1" t="n">
        <v>2</v>
      </c>
      <c r="T34" s="1" t="n">
        <v>0</v>
      </c>
      <c r="U34" s="1" t="n">
        <f aca="false">SUM(R34:T34)</f>
        <v>18</v>
      </c>
      <c r="V34" s="1" t="n">
        <v>0</v>
      </c>
      <c r="W34" s="1" t="n">
        <f aca="false">R34-V34</f>
        <v>16</v>
      </c>
      <c r="X34" s="1" t="n">
        <f aca="false">S34-V34</f>
        <v>2</v>
      </c>
      <c r="Y34" s="1" t="n">
        <f aca="false">T34-V34</f>
        <v>0</v>
      </c>
      <c r="Z34" s="1" t="n">
        <f aca="false">U34-V34</f>
        <v>18</v>
      </c>
      <c r="AB34" s="0" t="s">
        <v>34</v>
      </c>
      <c r="AC34" s="0" t="s">
        <v>146</v>
      </c>
      <c r="AD34" s="0" t="n">
        <v>10</v>
      </c>
      <c r="AE34" s="0" t="n">
        <v>33.9</v>
      </c>
      <c r="AF34" s="0" t="n">
        <v>13.97</v>
      </c>
      <c r="AG34" s="0" t="n">
        <v>4.42</v>
      </c>
      <c r="AH34" s="0" t="n">
        <v>17</v>
      </c>
      <c r="AI34" s="0" t="n">
        <v>61</v>
      </c>
    </row>
    <row r="35" customFormat="false" ht="15" hidden="false" customHeight="false" outlineLevel="0" collapsed="false">
      <c r="A35" s="4" t="n">
        <v>39427</v>
      </c>
      <c r="B35" s="0" t="s">
        <v>12</v>
      </c>
      <c r="C35" s="1" t="n">
        <v>6</v>
      </c>
      <c r="D35" s="0" t="s">
        <v>15</v>
      </c>
      <c r="E35" s="1" t="n">
        <f aca="false">crudos!E35+crudos!F35</f>
        <v>7</v>
      </c>
      <c r="F35" s="1" t="n">
        <f aca="false">crudos!G35+crudos!H35</f>
        <v>3</v>
      </c>
      <c r="G35" s="1" t="n">
        <f aca="false">crudos!I35+crudos!J35</f>
        <v>0</v>
      </c>
      <c r="H35" s="2"/>
      <c r="I35" s="1"/>
      <c r="J35" s="1"/>
      <c r="K35" s="14"/>
      <c r="L35" s="27" t="n">
        <v>9</v>
      </c>
      <c r="M35" s="43" t="n">
        <v>18</v>
      </c>
      <c r="N35" s="44" t="n">
        <v>0</v>
      </c>
      <c r="O35" s="44" t="n">
        <v>2</v>
      </c>
      <c r="P35" s="45" t="n">
        <v>1</v>
      </c>
      <c r="Q35" s="1" t="s">
        <v>37</v>
      </c>
      <c r="R35" s="1" t="n">
        <v>0</v>
      </c>
      <c r="S35" s="1" t="n">
        <v>2</v>
      </c>
      <c r="T35" s="1" t="n">
        <v>1</v>
      </c>
      <c r="U35" s="1" t="n">
        <f aca="false">SUM(R35:T35)</f>
        <v>3</v>
      </c>
      <c r="V35" s="1" t="n">
        <v>2</v>
      </c>
      <c r="W35" s="1" t="n">
        <f aca="false">R35-V35</f>
        <v>-2</v>
      </c>
      <c r="X35" s="1" t="n">
        <f aca="false">S35-V35</f>
        <v>0</v>
      </c>
      <c r="Y35" s="1" t="n">
        <f aca="false">T35-V35</f>
        <v>-1</v>
      </c>
      <c r="Z35" s="1" t="n">
        <f aca="false">U35-V35</f>
        <v>1</v>
      </c>
      <c r="AB35" s="0" t="s">
        <v>34</v>
      </c>
      <c r="AC35" s="0" t="s">
        <v>147</v>
      </c>
      <c r="AD35" s="0" t="n">
        <v>10</v>
      </c>
      <c r="AE35" s="0" t="n">
        <v>7.5</v>
      </c>
      <c r="AF35" s="0" t="n">
        <v>3.54</v>
      </c>
      <c r="AG35" s="0" t="n">
        <v>1.12</v>
      </c>
      <c r="AH35" s="0" t="n">
        <v>3</v>
      </c>
      <c r="AI35" s="0" t="n">
        <v>12</v>
      </c>
    </row>
    <row r="36" customFormat="false" ht="15" hidden="false" customHeight="false" outlineLevel="0" collapsed="false">
      <c r="A36" s="4" t="n">
        <v>39427</v>
      </c>
      <c r="B36" s="0" t="s">
        <v>12</v>
      </c>
      <c r="C36" s="1" t="n">
        <v>6</v>
      </c>
      <c r="D36" s="0" t="s">
        <v>16</v>
      </c>
      <c r="E36" s="1" t="n">
        <f aca="false">crudos!E36+crudos!F36</f>
        <v>0</v>
      </c>
      <c r="F36" s="1" t="n">
        <f aca="false">crudos!G36+crudos!H36</f>
        <v>0</v>
      </c>
      <c r="G36" s="1" t="n">
        <f aca="false">crudos!I36+crudos!J36</f>
        <v>0</v>
      </c>
      <c r="H36" s="2"/>
      <c r="I36" s="1"/>
      <c r="J36" s="1"/>
      <c r="K36" s="28"/>
      <c r="L36" s="29" t="n">
        <v>10</v>
      </c>
      <c r="M36" s="47" t="n">
        <v>16</v>
      </c>
      <c r="N36" s="48" t="n">
        <v>2</v>
      </c>
      <c r="O36" s="48" t="n">
        <v>0</v>
      </c>
      <c r="P36" s="49" t="n">
        <v>0</v>
      </c>
      <c r="Q36" s="1" t="s">
        <v>37</v>
      </c>
      <c r="R36" s="1" t="n">
        <v>2</v>
      </c>
      <c r="S36" s="1" t="n">
        <v>5</v>
      </c>
      <c r="T36" s="1" t="n">
        <v>6</v>
      </c>
      <c r="U36" s="1" t="n">
        <f aca="false">SUM(R36:T36)</f>
        <v>13</v>
      </c>
      <c r="V36" s="1" t="n">
        <v>2</v>
      </c>
      <c r="W36" s="1" t="n">
        <f aca="false">R36-V36</f>
        <v>0</v>
      </c>
      <c r="X36" s="1" t="n">
        <f aca="false">S36-V36</f>
        <v>3</v>
      </c>
      <c r="Y36" s="1" t="n">
        <f aca="false">T36-V36</f>
        <v>4</v>
      </c>
      <c r="Z36" s="1" t="n">
        <f aca="false">U36-V36</f>
        <v>11</v>
      </c>
      <c r="AB36" s="0" t="s">
        <v>34</v>
      </c>
      <c r="AC36" s="0" t="s">
        <v>148</v>
      </c>
      <c r="AD36" s="0" t="n">
        <v>10</v>
      </c>
      <c r="AE36" s="0" t="n">
        <v>8.4</v>
      </c>
      <c r="AF36" s="0" t="n">
        <v>5.56</v>
      </c>
      <c r="AG36" s="0" t="n">
        <v>1.76</v>
      </c>
      <c r="AH36" s="0" t="n">
        <v>1</v>
      </c>
      <c r="AI36" s="0" t="n">
        <v>18</v>
      </c>
    </row>
    <row r="37" customFormat="false" ht="15" hidden="false" customHeight="false" outlineLevel="0" collapsed="false">
      <c r="A37" s="4" t="n">
        <v>39427</v>
      </c>
      <c r="B37" s="0" t="s">
        <v>12</v>
      </c>
      <c r="C37" s="1" t="n">
        <v>6</v>
      </c>
      <c r="D37" s="0" t="s">
        <v>17</v>
      </c>
      <c r="E37" s="1" t="n">
        <f aca="false">crudos!E37+crudos!F37</f>
        <v>0</v>
      </c>
      <c r="F37" s="1" t="n">
        <f aca="false">crudos!G37+crudos!H37</f>
        <v>0</v>
      </c>
      <c r="G37" s="1" t="n">
        <f aca="false">crudos!I37+crudos!J37</f>
        <v>0</v>
      </c>
      <c r="H37" s="2"/>
      <c r="I37" s="1"/>
      <c r="J37" s="1"/>
      <c r="K37" s="8" t="s">
        <v>20</v>
      </c>
      <c r="L37" s="26"/>
      <c r="M37" s="39" t="n">
        <v>16</v>
      </c>
      <c r="N37" s="40" t="n">
        <v>27</v>
      </c>
      <c r="O37" s="40" t="n">
        <v>24</v>
      </c>
      <c r="P37" s="41" t="n">
        <v>19</v>
      </c>
      <c r="Q37" s="1" t="s">
        <v>37</v>
      </c>
      <c r="R37" s="1" t="n">
        <v>0</v>
      </c>
      <c r="S37" s="1" t="n">
        <v>0</v>
      </c>
      <c r="T37" s="1" t="n">
        <v>0</v>
      </c>
      <c r="U37" s="1" t="n">
        <f aca="false">SUM(R37:T37)</f>
        <v>0</v>
      </c>
      <c r="V37" s="1" t="n">
        <v>7</v>
      </c>
      <c r="W37" s="1" t="n">
        <f aca="false">R37-V37</f>
        <v>-7</v>
      </c>
      <c r="X37" s="1" t="n">
        <f aca="false">S37-V37</f>
        <v>-7</v>
      </c>
      <c r="Y37" s="1" t="n">
        <f aca="false">T37-V37</f>
        <v>-7</v>
      </c>
      <c r="Z37" s="1" t="n">
        <f aca="false">U37-V37</f>
        <v>-7</v>
      </c>
      <c r="AB37" s="0" t="s">
        <v>34</v>
      </c>
      <c r="AC37" s="0" t="s">
        <v>149</v>
      </c>
      <c r="AD37" s="0" t="n">
        <v>10</v>
      </c>
      <c r="AE37" s="0" t="n">
        <v>49.8</v>
      </c>
      <c r="AF37" s="0" t="n">
        <v>15.24</v>
      </c>
      <c r="AG37" s="0" t="n">
        <v>4.82</v>
      </c>
      <c r="AH37" s="0" t="n">
        <v>25</v>
      </c>
      <c r="AI37" s="0" t="n">
        <v>79</v>
      </c>
    </row>
    <row r="38" customFormat="false" ht="15" hidden="false" customHeight="false" outlineLevel="0" collapsed="false">
      <c r="A38" s="4" t="n">
        <v>39427</v>
      </c>
      <c r="B38" s="0" t="s">
        <v>12</v>
      </c>
      <c r="C38" s="1" t="n">
        <v>6</v>
      </c>
      <c r="D38" s="0" t="s">
        <v>18</v>
      </c>
      <c r="E38" s="1" t="n">
        <f aca="false">crudos!E38+crudos!F38</f>
        <v>0</v>
      </c>
      <c r="F38" s="1" t="n">
        <f aca="false">crudos!G38+crudos!H38</f>
        <v>0</v>
      </c>
      <c r="G38" s="1" t="n">
        <f aca="false">crudos!I38+crudos!J38</f>
        <v>0</v>
      </c>
      <c r="H38" s="2"/>
      <c r="I38" s="1"/>
      <c r="J38" s="1"/>
      <c r="K38" s="14"/>
      <c r="L38" s="27" t="n">
        <v>1</v>
      </c>
      <c r="M38" s="43" t="n">
        <v>0</v>
      </c>
      <c r="N38" s="44" t="n">
        <v>2</v>
      </c>
      <c r="O38" s="44" t="n">
        <v>1</v>
      </c>
      <c r="P38" s="45" t="n">
        <v>2</v>
      </c>
      <c r="Q38" s="1" t="s">
        <v>37</v>
      </c>
      <c r="R38" s="1" t="n">
        <v>5</v>
      </c>
      <c r="S38" s="1" t="n">
        <v>1</v>
      </c>
      <c r="T38" s="1" t="n">
        <v>1</v>
      </c>
      <c r="U38" s="1" t="n">
        <f aca="false">SUM(R38:T38)</f>
        <v>7</v>
      </c>
      <c r="V38" s="1" t="n">
        <v>0</v>
      </c>
      <c r="W38" s="1" t="n">
        <f aca="false">R38-V38</f>
        <v>5</v>
      </c>
      <c r="X38" s="1" t="n">
        <f aca="false">S38-V38</f>
        <v>1</v>
      </c>
      <c r="Y38" s="1" t="n">
        <f aca="false">T38-V38</f>
        <v>1</v>
      </c>
      <c r="Z38" s="1" t="n">
        <f aca="false">U38-V38</f>
        <v>7</v>
      </c>
      <c r="AB38" s="0" t="s">
        <v>34</v>
      </c>
      <c r="AC38" s="60" t="s">
        <v>150</v>
      </c>
      <c r="AD38" s="60" t="n">
        <v>10</v>
      </c>
      <c r="AE38" s="60" t="n">
        <v>0.1</v>
      </c>
      <c r="AF38" s="60" t="n">
        <v>0.32</v>
      </c>
      <c r="AG38" s="60" t="n">
        <v>0.1</v>
      </c>
      <c r="AH38" s="60" t="n">
        <v>0</v>
      </c>
      <c r="AI38" s="60" t="n">
        <v>1</v>
      </c>
    </row>
    <row r="39" customFormat="false" ht="15" hidden="false" customHeight="false" outlineLevel="0" collapsed="false">
      <c r="A39" s="4" t="n">
        <v>39428</v>
      </c>
      <c r="B39" s="0" t="s">
        <v>12</v>
      </c>
      <c r="C39" s="1" t="n">
        <v>7</v>
      </c>
      <c r="D39" s="0" t="s">
        <v>13</v>
      </c>
      <c r="E39" s="1" t="n">
        <f aca="false">crudos!E39+crudos!F39</f>
        <v>3</v>
      </c>
      <c r="F39" s="1" t="n">
        <f aca="false">crudos!G39+crudos!H39</f>
        <v>0</v>
      </c>
      <c r="G39" s="1" t="n">
        <f aca="false">crudos!I39+crudos!J39</f>
        <v>0</v>
      </c>
      <c r="H39" s="2" t="n">
        <v>0</v>
      </c>
      <c r="I39" s="1"/>
      <c r="J39" s="1"/>
      <c r="K39" s="14"/>
      <c r="L39" s="27" t="n">
        <v>2</v>
      </c>
      <c r="M39" s="43" t="n">
        <v>2</v>
      </c>
      <c r="N39" s="44" t="n">
        <v>5</v>
      </c>
      <c r="O39" s="44" t="n">
        <v>6</v>
      </c>
      <c r="P39" s="45" t="n">
        <v>2</v>
      </c>
      <c r="Q39" s="1" t="s">
        <v>37</v>
      </c>
      <c r="R39" s="1" t="n">
        <v>0</v>
      </c>
      <c r="S39" s="1" t="n">
        <v>3</v>
      </c>
      <c r="T39" s="1" t="n">
        <v>2</v>
      </c>
      <c r="U39" s="1" t="n">
        <f aca="false">SUM(R39:T39)</f>
        <v>5</v>
      </c>
      <c r="V39" s="1" t="n">
        <v>0</v>
      </c>
      <c r="W39" s="1" t="n">
        <f aca="false">R39-V39</f>
        <v>0</v>
      </c>
      <c r="X39" s="1" t="n">
        <f aca="false">S39-V39</f>
        <v>3</v>
      </c>
      <c r="Y39" s="1" t="n">
        <f aca="false">T39-V39</f>
        <v>2</v>
      </c>
      <c r="Z39" s="1" t="n">
        <f aca="false">U39-V39</f>
        <v>5</v>
      </c>
      <c r="AB39" s="0" t="s">
        <v>34</v>
      </c>
      <c r="AC39" s="0" t="s">
        <v>151</v>
      </c>
      <c r="AD39" s="0" t="n">
        <v>10</v>
      </c>
      <c r="AE39" s="0" t="n">
        <v>33.8</v>
      </c>
      <c r="AF39" s="0" t="n">
        <v>13.83</v>
      </c>
      <c r="AG39" s="0" t="n">
        <v>4.37</v>
      </c>
      <c r="AH39" s="0" t="n">
        <v>17</v>
      </c>
      <c r="AI39" s="0" t="n">
        <v>61</v>
      </c>
    </row>
    <row r="40" customFormat="false" ht="15" hidden="false" customHeight="false" outlineLevel="0" collapsed="false">
      <c r="A40" s="4" t="n">
        <v>39428</v>
      </c>
      <c r="B40" s="0" t="s">
        <v>12</v>
      </c>
      <c r="C40" s="1" t="n">
        <v>7</v>
      </c>
      <c r="D40" s="0" t="s">
        <v>14</v>
      </c>
      <c r="E40" s="1" t="n">
        <f aca="false">crudos!E40+crudos!F40</f>
        <v>4</v>
      </c>
      <c r="F40" s="1" t="n">
        <f aca="false">crudos!G40+crudos!H40</f>
        <v>0</v>
      </c>
      <c r="G40" s="1" t="n">
        <f aca="false">crudos!I40+crudos!J40</f>
        <v>0</v>
      </c>
      <c r="H40" s="2"/>
      <c r="I40" s="1"/>
      <c r="J40" s="1"/>
      <c r="K40" s="14"/>
      <c r="L40" s="27" t="n">
        <v>3</v>
      </c>
      <c r="M40" s="43" t="n">
        <v>0</v>
      </c>
      <c r="N40" s="44" t="n">
        <v>0</v>
      </c>
      <c r="O40" s="44" t="n">
        <v>0</v>
      </c>
      <c r="P40" s="45" t="n">
        <v>7</v>
      </c>
      <c r="Q40" s="1" t="s">
        <v>37</v>
      </c>
      <c r="R40" s="1" t="n">
        <v>0</v>
      </c>
      <c r="S40" s="1" t="n">
        <v>1</v>
      </c>
      <c r="T40" s="1" t="n">
        <v>0</v>
      </c>
      <c r="U40" s="1" t="n">
        <f aca="false">SUM(R40:T40)</f>
        <v>1</v>
      </c>
      <c r="V40" s="1" t="n">
        <v>4</v>
      </c>
      <c r="W40" s="1" t="n">
        <f aca="false">R40-V40</f>
        <v>-4</v>
      </c>
      <c r="X40" s="1" t="n">
        <f aca="false">S40-V40</f>
        <v>-3</v>
      </c>
      <c r="Y40" s="1" t="n">
        <f aca="false">T40-V40</f>
        <v>-4</v>
      </c>
      <c r="Z40" s="1" t="n">
        <f aca="false">U40-V40</f>
        <v>-3</v>
      </c>
      <c r="AB40" s="0" t="s">
        <v>34</v>
      </c>
      <c r="AC40" s="0" t="s">
        <v>152</v>
      </c>
      <c r="AD40" s="0" t="n">
        <v>10</v>
      </c>
      <c r="AE40" s="0" t="n">
        <v>7.4</v>
      </c>
      <c r="AF40" s="0" t="n">
        <v>3.69</v>
      </c>
      <c r="AG40" s="0" t="n">
        <v>1.17</v>
      </c>
      <c r="AH40" s="0" t="n">
        <v>2</v>
      </c>
      <c r="AI40" s="0" t="n">
        <v>12</v>
      </c>
    </row>
    <row r="41" customFormat="false" ht="15" hidden="false" customHeight="false" outlineLevel="0" collapsed="false">
      <c r="A41" s="4" t="n">
        <v>39428</v>
      </c>
      <c r="B41" s="0" t="s">
        <v>12</v>
      </c>
      <c r="C41" s="1" t="n">
        <v>7</v>
      </c>
      <c r="D41" s="0" t="s">
        <v>15</v>
      </c>
      <c r="E41" s="1" t="n">
        <f aca="false">crudos!E41+crudos!F41</f>
        <v>0</v>
      </c>
      <c r="F41" s="1" t="n">
        <f aca="false">crudos!G41+crudos!H41</f>
        <v>0</v>
      </c>
      <c r="G41" s="1" t="n">
        <f aca="false">crudos!I41+crudos!J41</f>
        <v>0</v>
      </c>
      <c r="H41" s="2"/>
      <c r="I41" s="1"/>
      <c r="J41" s="1"/>
      <c r="K41" s="14"/>
      <c r="L41" s="27" t="n">
        <v>4</v>
      </c>
      <c r="M41" s="43" t="n">
        <v>5</v>
      </c>
      <c r="N41" s="44" t="n">
        <v>1</v>
      </c>
      <c r="O41" s="44" t="n">
        <v>1</v>
      </c>
      <c r="P41" s="45" t="n">
        <v>0</v>
      </c>
      <c r="Q41" s="1" t="s">
        <v>37</v>
      </c>
      <c r="R41" s="1" t="n">
        <v>3</v>
      </c>
      <c r="S41" s="1" t="n">
        <v>3</v>
      </c>
      <c r="T41" s="1" t="n">
        <v>3</v>
      </c>
      <c r="U41" s="1" t="n">
        <f aca="false">SUM(R41:T41)</f>
        <v>9</v>
      </c>
      <c r="V41" s="1" t="n">
        <v>2</v>
      </c>
      <c r="W41" s="1" t="n">
        <f aca="false">R41-V41</f>
        <v>1</v>
      </c>
      <c r="X41" s="1" t="n">
        <f aca="false">S41-V41</f>
        <v>1</v>
      </c>
      <c r="Y41" s="1" t="n">
        <f aca="false">T41-V41</f>
        <v>1</v>
      </c>
      <c r="Z41" s="1" t="n">
        <f aca="false">U41-V41</f>
        <v>7</v>
      </c>
      <c r="AB41" s="0" t="s">
        <v>34</v>
      </c>
      <c r="AC41" s="0" t="s">
        <v>153</v>
      </c>
      <c r="AD41" s="0" t="n">
        <v>10</v>
      </c>
      <c r="AE41" s="0" t="n">
        <v>8.3</v>
      </c>
      <c r="AF41" s="0" t="n">
        <v>5.72</v>
      </c>
      <c r="AG41" s="0" t="n">
        <v>1.81</v>
      </c>
      <c r="AH41" s="0" t="n">
        <v>0</v>
      </c>
      <c r="AI41" s="0" t="n">
        <v>18</v>
      </c>
    </row>
    <row r="42" customFormat="false" ht="15" hidden="false" customHeight="false" outlineLevel="0" collapsed="false">
      <c r="A42" s="4" t="n">
        <v>39428</v>
      </c>
      <c r="B42" s="0" t="s">
        <v>12</v>
      </c>
      <c r="C42" s="1" t="n">
        <v>7</v>
      </c>
      <c r="D42" s="0" t="s">
        <v>16</v>
      </c>
      <c r="E42" s="1" t="n">
        <f aca="false">crudos!E42+crudos!F42</f>
        <v>0</v>
      </c>
      <c r="F42" s="1" t="n">
        <f aca="false">crudos!G42+crudos!H42</f>
        <v>1</v>
      </c>
      <c r="G42" s="1" t="n">
        <f aca="false">crudos!I42+crudos!J42</f>
        <v>0</v>
      </c>
      <c r="H42" s="2"/>
      <c r="I42" s="1"/>
      <c r="J42" s="1"/>
      <c r="K42" s="14"/>
      <c r="L42" s="27" t="n">
        <v>5</v>
      </c>
      <c r="M42" s="43" t="n">
        <v>0</v>
      </c>
      <c r="N42" s="44" t="n">
        <v>3</v>
      </c>
      <c r="O42" s="44" t="n">
        <v>2</v>
      </c>
      <c r="P42" s="45" t="n">
        <v>0</v>
      </c>
      <c r="Q42" s="1" t="s">
        <v>37</v>
      </c>
      <c r="R42" s="1" t="n">
        <v>5</v>
      </c>
      <c r="S42" s="1" t="n">
        <v>3</v>
      </c>
      <c r="T42" s="1" t="n">
        <v>2</v>
      </c>
      <c r="U42" s="1" t="n">
        <f aca="false">SUM(R42:T42)</f>
        <v>10</v>
      </c>
      <c r="V42" s="1" t="n">
        <v>2</v>
      </c>
      <c r="W42" s="1" t="n">
        <f aca="false">R42-V42</f>
        <v>3</v>
      </c>
      <c r="X42" s="1" t="n">
        <f aca="false">S42-V42</f>
        <v>1</v>
      </c>
      <c r="Y42" s="1" t="n">
        <f aca="false">T42-V42</f>
        <v>0</v>
      </c>
      <c r="Z42" s="1" t="n">
        <f aca="false">U42-V42</f>
        <v>8</v>
      </c>
      <c r="AB42" s="0" t="s">
        <v>34</v>
      </c>
      <c r="AC42" s="0" t="s">
        <v>154</v>
      </c>
      <c r="AD42" s="0" t="n">
        <v>10</v>
      </c>
      <c r="AE42" s="0" t="n">
        <v>49.7</v>
      </c>
      <c r="AF42" s="0" t="n">
        <v>15.2</v>
      </c>
      <c r="AG42" s="0" t="n">
        <v>4.81</v>
      </c>
      <c r="AH42" s="0" t="n">
        <v>25</v>
      </c>
      <c r="AI42" s="0" t="n">
        <v>79</v>
      </c>
    </row>
    <row r="43" customFormat="false" ht="15" hidden="false" customHeight="false" outlineLevel="0" collapsed="false">
      <c r="A43" s="4" t="n">
        <v>39428</v>
      </c>
      <c r="B43" s="0" t="s">
        <v>12</v>
      </c>
      <c r="C43" s="1" t="n">
        <v>7</v>
      </c>
      <c r="D43" s="0" t="s">
        <v>17</v>
      </c>
      <c r="E43" s="1" t="n">
        <f aca="false">crudos!E43+crudos!F43</f>
        <v>2</v>
      </c>
      <c r="F43" s="1" t="n">
        <f aca="false">crudos!G43+crudos!H43</f>
        <v>0</v>
      </c>
      <c r="G43" s="1" t="n">
        <f aca="false">crudos!I43+crudos!J43</f>
        <v>3</v>
      </c>
      <c r="H43" s="2"/>
      <c r="I43" s="1"/>
      <c r="J43" s="1"/>
      <c r="K43" s="14"/>
      <c r="L43" s="27" t="n">
        <v>6</v>
      </c>
      <c r="M43" s="43" t="n">
        <v>0</v>
      </c>
      <c r="N43" s="44" t="n">
        <v>1</v>
      </c>
      <c r="O43" s="44" t="n">
        <v>0</v>
      </c>
      <c r="P43" s="45" t="n">
        <v>4</v>
      </c>
      <c r="Q43" s="1" t="s">
        <v>37</v>
      </c>
      <c r="R43" s="1" t="n">
        <v>1</v>
      </c>
      <c r="S43" s="1" t="n">
        <v>2</v>
      </c>
      <c r="T43" s="1" t="n">
        <v>2</v>
      </c>
      <c r="U43" s="1" t="n">
        <f aca="false">SUM(R43:T43)</f>
        <v>5</v>
      </c>
      <c r="V43" s="1" t="n">
        <v>0</v>
      </c>
      <c r="W43" s="1" t="n">
        <f aca="false">R43-V43</f>
        <v>1</v>
      </c>
      <c r="X43" s="1" t="n">
        <f aca="false">S43-V43</f>
        <v>2</v>
      </c>
      <c r="Y43" s="1" t="n">
        <f aca="false">T43-V43</f>
        <v>2</v>
      </c>
      <c r="Z43" s="1" t="n">
        <f aca="false">U43-V43</f>
        <v>5</v>
      </c>
      <c r="AB43" s="0" t="s">
        <v>36</v>
      </c>
      <c r="AC43" s="0" t="s">
        <v>146</v>
      </c>
      <c r="AD43" s="0" t="n">
        <v>10</v>
      </c>
      <c r="AE43" s="0" t="n">
        <v>15.4</v>
      </c>
      <c r="AF43" s="0" t="n">
        <v>4.09</v>
      </c>
      <c r="AG43" s="0" t="n">
        <v>1.29</v>
      </c>
      <c r="AH43" s="0" t="n">
        <v>9</v>
      </c>
      <c r="AI43" s="0" t="n">
        <v>21</v>
      </c>
    </row>
    <row r="44" customFormat="false" ht="15" hidden="false" customHeight="false" outlineLevel="0" collapsed="false">
      <c r="A44" s="4" t="n">
        <v>39428</v>
      </c>
      <c r="B44" s="0" t="s">
        <v>12</v>
      </c>
      <c r="C44" s="1" t="n">
        <v>7</v>
      </c>
      <c r="D44" s="0" t="s">
        <v>18</v>
      </c>
      <c r="E44" s="1" t="n">
        <f aca="false">crudos!E44+crudos!F44</f>
        <v>0</v>
      </c>
      <c r="F44" s="1" t="n">
        <f aca="false">crudos!G44+crudos!H44</f>
        <v>0</v>
      </c>
      <c r="G44" s="1" t="n">
        <f aca="false">crudos!I44+crudos!J44</f>
        <v>0</v>
      </c>
      <c r="H44" s="2"/>
      <c r="I44" s="1"/>
      <c r="J44" s="1"/>
      <c r="K44" s="14"/>
      <c r="L44" s="27" t="n">
        <v>7</v>
      </c>
      <c r="M44" s="43" t="n">
        <v>3</v>
      </c>
      <c r="N44" s="44" t="n">
        <v>3</v>
      </c>
      <c r="O44" s="44" t="n">
        <v>3</v>
      </c>
      <c r="P44" s="45" t="n">
        <v>2</v>
      </c>
      <c r="Q44" s="1" t="s">
        <v>37</v>
      </c>
      <c r="R44" s="1" t="n">
        <v>0</v>
      </c>
      <c r="S44" s="1" t="n">
        <v>7</v>
      </c>
      <c r="T44" s="1" t="n">
        <v>7</v>
      </c>
      <c r="U44" s="1" t="n">
        <f aca="false">SUM(R44:T44)</f>
        <v>14</v>
      </c>
      <c r="V44" s="1" t="n">
        <v>0</v>
      </c>
      <c r="W44" s="1" t="n">
        <f aca="false">R44-V44</f>
        <v>0</v>
      </c>
      <c r="X44" s="1" t="n">
        <f aca="false">S44-V44</f>
        <v>7</v>
      </c>
      <c r="Y44" s="1" t="n">
        <f aca="false">T44-V44</f>
        <v>7</v>
      </c>
      <c r="Z44" s="1" t="n">
        <f aca="false">U44-V44</f>
        <v>14</v>
      </c>
      <c r="AB44" s="0" t="s">
        <v>36</v>
      </c>
      <c r="AC44" s="0" t="s">
        <v>147</v>
      </c>
      <c r="AD44" s="0" t="n">
        <v>10</v>
      </c>
      <c r="AE44" s="0" t="n">
        <v>2.7</v>
      </c>
      <c r="AF44" s="0" t="n">
        <v>2.11</v>
      </c>
      <c r="AG44" s="0" t="n">
        <v>0.67</v>
      </c>
      <c r="AH44" s="0" t="n">
        <v>0</v>
      </c>
      <c r="AI44" s="0" t="n">
        <v>5</v>
      </c>
    </row>
    <row r="45" customFormat="false" ht="15" hidden="false" customHeight="false" outlineLevel="0" collapsed="false">
      <c r="A45" s="4" t="n">
        <v>39428</v>
      </c>
      <c r="B45" s="0" t="s">
        <v>12</v>
      </c>
      <c r="C45" s="1" t="n">
        <v>8</v>
      </c>
      <c r="D45" s="0" t="s">
        <v>13</v>
      </c>
      <c r="E45" s="1" t="n">
        <f aca="false">crudos!E45+crudos!F45</f>
        <v>2</v>
      </c>
      <c r="F45" s="1" t="n">
        <f aca="false">crudos!G45+crudos!H45</f>
        <v>0</v>
      </c>
      <c r="G45" s="1" t="n">
        <f aca="false">crudos!I45+crudos!J45</f>
        <v>0</v>
      </c>
      <c r="H45" s="2" t="n">
        <v>0</v>
      </c>
      <c r="I45" s="1"/>
      <c r="J45" s="1"/>
      <c r="K45" s="14"/>
      <c r="L45" s="27" t="n">
        <v>8</v>
      </c>
      <c r="M45" s="43" t="n">
        <v>5</v>
      </c>
      <c r="N45" s="44" t="n">
        <v>3</v>
      </c>
      <c r="O45" s="44" t="n">
        <v>2</v>
      </c>
      <c r="P45" s="45" t="n">
        <v>2</v>
      </c>
      <c r="Q45" s="1" t="s">
        <v>38</v>
      </c>
      <c r="R45" s="1" t="n">
        <v>15</v>
      </c>
      <c r="S45" s="1" t="n">
        <v>3</v>
      </c>
      <c r="T45" s="1" t="n">
        <v>3</v>
      </c>
      <c r="U45" s="1" t="n">
        <f aca="false">SUM(R45:T45)</f>
        <v>21</v>
      </c>
      <c r="V45" s="1" t="n">
        <v>7</v>
      </c>
      <c r="W45" s="1" t="n">
        <f aca="false">R45-V45</f>
        <v>8</v>
      </c>
      <c r="X45" s="1" t="n">
        <f aca="false">S45-V45</f>
        <v>-4</v>
      </c>
      <c r="Y45" s="1" t="n">
        <f aca="false">T45-V45</f>
        <v>-4</v>
      </c>
      <c r="Z45" s="1" t="n">
        <f aca="false">U45-V45</f>
        <v>14</v>
      </c>
      <c r="AB45" s="0" t="s">
        <v>36</v>
      </c>
      <c r="AC45" s="0" t="s">
        <v>148</v>
      </c>
      <c r="AD45" s="0" t="n">
        <v>10</v>
      </c>
      <c r="AE45" s="0" t="n">
        <v>3.4</v>
      </c>
      <c r="AF45" s="0" t="n">
        <v>2.12</v>
      </c>
      <c r="AG45" s="0" t="n">
        <v>0.67</v>
      </c>
      <c r="AH45" s="0" t="n">
        <v>0</v>
      </c>
      <c r="AI45" s="0" t="n">
        <v>6</v>
      </c>
    </row>
    <row r="46" customFormat="false" ht="15" hidden="false" customHeight="false" outlineLevel="0" collapsed="false">
      <c r="A46" s="4" t="n">
        <v>39428</v>
      </c>
      <c r="B46" s="0" t="s">
        <v>12</v>
      </c>
      <c r="C46" s="1" t="n">
        <v>8</v>
      </c>
      <c r="D46" s="0" t="s">
        <v>14</v>
      </c>
      <c r="E46" s="1" t="n">
        <f aca="false">crudos!E46+crudos!F46</f>
        <v>13</v>
      </c>
      <c r="F46" s="1" t="n">
        <f aca="false">crudos!G46+crudos!H46</f>
        <v>0</v>
      </c>
      <c r="G46" s="1" t="n">
        <f aca="false">crudos!I46+crudos!J46</f>
        <v>0</v>
      </c>
      <c r="H46" s="2"/>
      <c r="I46" s="1"/>
      <c r="J46" s="1"/>
      <c r="K46" s="14"/>
      <c r="L46" s="27" t="n">
        <v>9</v>
      </c>
      <c r="M46" s="43" t="n">
        <v>1</v>
      </c>
      <c r="N46" s="44" t="n">
        <v>2</v>
      </c>
      <c r="O46" s="44" t="n">
        <v>2</v>
      </c>
      <c r="P46" s="45" t="n">
        <v>0</v>
      </c>
      <c r="Q46" s="1" t="s">
        <v>38</v>
      </c>
      <c r="R46" s="1" t="n">
        <v>5</v>
      </c>
      <c r="S46" s="1" t="n">
        <v>0</v>
      </c>
      <c r="T46" s="1" t="n">
        <v>3</v>
      </c>
      <c r="U46" s="1" t="n">
        <f aca="false">SUM(R46:T46)</f>
        <v>8</v>
      </c>
      <c r="V46" s="1" t="n">
        <v>1</v>
      </c>
      <c r="W46" s="1" t="n">
        <f aca="false">R46-V46</f>
        <v>4</v>
      </c>
      <c r="X46" s="1" t="n">
        <f aca="false">S46-V46</f>
        <v>-1</v>
      </c>
      <c r="Y46" s="1" t="n">
        <f aca="false">T46-V46</f>
        <v>2</v>
      </c>
      <c r="Z46" s="1" t="n">
        <f aca="false">U46-V46</f>
        <v>7</v>
      </c>
      <c r="AB46" s="0" t="s">
        <v>36</v>
      </c>
      <c r="AC46" s="0" t="s">
        <v>149</v>
      </c>
      <c r="AD46" s="0" t="n">
        <v>10</v>
      </c>
      <c r="AE46" s="0" t="n">
        <v>21.5</v>
      </c>
      <c r="AF46" s="0" t="n">
        <v>5.76</v>
      </c>
      <c r="AG46" s="0" t="n">
        <v>1.82</v>
      </c>
      <c r="AH46" s="0" t="n">
        <v>16</v>
      </c>
      <c r="AI46" s="0" t="n">
        <v>31</v>
      </c>
    </row>
    <row r="47" customFormat="false" ht="15" hidden="false" customHeight="false" outlineLevel="0" collapsed="false">
      <c r="A47" s="4" t="n">
        <v>39428</v>
      </c>
      <c r="B47" s="0" t="s">
        <v>12</v>
      </c>
      <c r="C47" s="1" t="n">
        <v>8</v>
      </c>
      <c r="D47" s="0" t="s">
        <v>15</v>
      </c>
      <c r="E47" s="1" t="n">
        <f aca="false">crudos!E47+crudos!F47</f>
        <v>3</v>
      </c>
      <c r="F47" s="1" t="n">
        <f aca="false">crudos!G47+crudos!H47</f>
        <v>4</v>
      </c>
      <c r="G47" s="1" t="n">
        <f aca="false">crudos!I47+crudos!J47</f>
        <v>0</v>
      </c>
      <c r="H47" s="2"/>
      <c r="I47" s="1"/>
      <c r="J47" s="1"/>
      <c r="K47" s="28"/>
      <c r="L47" s="29" t="n">
        <v>10</v>
      </c>
      <c r="M47" s="47" t="n">
        <v>0</v>
      </c>
      <c r="N47" s="48" t="n">
        <v>7</v>
      </c>
      <c r="O47" s="48" t="n">
        <v>7</v>
      </c>
      <c r="P47" s="49" t="n">
        <v>0</v>
      </c>
      <c r="Q47" s="1" t="s">
        <v>38</v>
      </c>
      <c r="R47" s="1" t="n">
        <v>10</v>
      </c>
      <c r="S47" s="1" t="n">
        <v>4</v>
      </c>
      <c r="T47" s="1" t="n">
        <v>4</v>
      </c>
      <c r="U47" s="1" t="n">
        <f aca="false">SUM(R47:T47)</f>
        <v>18</v>
      </c>
      <c r="V47" s="1" t="n">
        <v>2</v>
      </c>
      <c r="W47" s="1" t="n">
        <f aca="false">R47-V47</f>
        <v>8</v>
      </c>
      <c r="X47" s="1" t="n">
        <f aca="false">S47-V47</f>
        <v>2</v>
      </c>
      <c r="Y47" s="1" t="n">
        <f aca="false">T47-V47</f>
        <v>2</v>
      </c>
      <c r="Z47" s="1" t="n">
        <f aca="false">U47-V47</f>
        <v>16</v>
      </c>
      <c r="AB47" s="0" t="s">
        <v>36</v>
      </c>
      <c r="AC47" s="60" t="s">
        <v>150</v>
      </c>
      <c r="AD47" s="60" t="n">
        <v>10</v>
      </c>
      <c r="AE47" s="60" t="n">
        <v>2.9</v>
      </c>
      <c r="AF47" s="60" t="n">
        <v>4.79</v>
      </c>
      <c r="AG47" s="60" t="n">
        <v>1.52</v>
      </c>
      <c r="AH47" s="60" t="n">
        <v>0</v>
      </c>
      <c r="AI47" s="60" t="n">
        <v>14</v>
      </c>
    </row>
    <row r="48" customFormat="false" ht="15" hidden="false" customHeight="false" outlineLevel="0" collapsed="false">
      <c r="A48" s="4" t="n">
        <v>39428</v>
      </c>
      <c r="B48" s="0" t="s">
        <v>12</v>
      </c>
      <c r="C48" s="1" t="n">
        <v>8</v>
      </c>
      <c r="D48" s="0" t="s">
        <v>16</v>
      </c>
      <c r="E48" s="1" t="n">
        <f aca="false">crudos!E48+crudos!F48</f>
        <v>3</v>
      </c>
      <c r="F48" s="1" t="n">
        <f aca="false">crudos!G48+crudos!H48</f>
        <v>0</v>
      </c>
      <c r="G48" s="1" t="n">
        <f aca="false">crudos!I48+crudos!J48</f>
        <v>0</v>
      </c>
      <c r="H48" s="2"/>
      <c r="I48" s="1"/>
      <c r="J48" s="1"/>
      <c r="K48" s="8" t="s">
        <v>19</v>
      </c>
      <c r="L48" s="26"/>
      <c r="M48" s="39" t="n">
        <v>62</v>
      </c>
      <c r="N48" s="40" t="n">
        <v>25</v>
      </c>
      <c r="O48" s="40" t="n">
        <v>13</v>
      </c>
      <c r="P48" s="41" t="n">
        <v>18</v>
      </c>
      <c r="Q48" s="1" t="s">
        <v>38</v>
      </c>
      <c r="R48" s="1" t="n">
        <v>5</v>
      </c>
      <c r="S48" s="1" t="n">
        <v>3</v>
      </c>
      <c r="T48" s="1" t="n">
        <v>3</v>
      </c>
      <c r="U48" s="1" t="n">
        <f aca="false">SUM(R48:T48)</f>
        <v>11</v>
      </c>
      <c r="V48" s="1" t="n">
        <v>1</v>
      </c>
      <c r="W48" s="1" t="n">
        <f aca="false">R48-V48</f>
        <v>4</v>
      </c>
      <c r="X48" s="1" t="n">
        <f aca="false">S48-V48</f>
        <v>2</v>
      </c>
      <c r="Y48" s="1" t="n">
        <f aca="false">T48-V48</f>
        <v>2</v>
      </c>
      <c r="Z48" s="1" t="n">
        <f aca="false">U48-V48</f>
        <v>10</v>
      </c>
      <c r="AB48" s="0" t="s">
        <v>36</v>
      </c>
      <c r="AC48" s="0" t="s">
        <v>151</v>
      </c>
      <c r="AD48" s="0" t="n">
        <v>10</v>
      </c>
      <c r="AE48" s="0" t="n">
        <v>12.5</v>
      </c>
      <c r="AF48" s="0" t="n">
        <v>5.38</v>
      </c>
      <c r="AG48" s="0" t="n">
        <v>1.7</v>
      </c>
      <c r="AH48" s="0" t="n">
        <v>0</v>
      </c>
      <c r="AI48" s="0" t="n">
        <v>18</v>
      </c>
    </row>
    <row r="49" customFormat="false" ht="15" hidden="false" customHeight="false" outlineLevel="0" collapsed="false">
      <c r="A49" s="4" t="n">
        <v>39428</v>
      </c>
      <c r="B49" s="0" t="s">
        <v>12</v>
      </c>
      <c r="C49" s="1" t="n">
        <v>8</v>
      </c>
      <c r="D49" s="0" t="s">
        <v>17</v>
      </c>
      <c r="E49" s="1" t="n">
        <f aca="false">crudos!E49+crudos!F49</f>
        <v>0</v>
      </c>
      <c r="F49" s="1" t="n">
        <f aca="false">crudos!G49+crudos!H49</f>
        <v>0</v>
      </c>
      <c r="G49" s="1" t="n">
        <f aca="false">crudos!I49+crudos!J49</f>
        <v>0</v>
      </c>
      <c r="H49" s="2"/>
      <c r="I49" s="1"/>
      <c r="J49" s="1"/>
      <c r="K49" s="14"/>
      <c r="L49" s="27" t="n">
        <v>1</v>
      </c>
      <c r="M49" s="43" t="n">
        <v>15</v>
      </c>
      <c r="N49" s="44" t="n">
        <v>3</v>
      </c>
      <c r="O49" s="44" t="n">
        <v>3</v>
      </c>
      <c r="P49" s="45" t="n">
        <v>7</v>
      </c>
      <c r="Q49" s="1" t="s">
        <v>38</v>
      </c>
      <c r="R49" s="1" t="n">
        <v>3</v>
      </c>
      <c r="S49" s="1" t="n">
        <v>0</v>
      </c>
      <c r="T49" s="1" t="n">
        <v>0</v>
      </c>
      <c r="U49" s="1" t="n">
        <f aca="false">SUM(R49:T49)</f>
        <v>3</v>
      </c>
      <c r="V49" s="1" t="n">
        <v>2</v>
      </c>
      <c r="W49" s="1" t="n">
        <f aca="false">R49-V49</f>
        <v>1</v>
      </c>
      <c r="X49" s="1" t="n">
        <f aca="false">S49-V49</f>
        <v>-2</v>
      </c>
      <c r="Y49" s="1" t="n">
        <f aca="false">T49-V49</f>
        <v>-2</v>
      </c>
      <c r="Z49" s="1" t="n">
        <f aca="false">U49-V49</f>
        <v>1</v>
      </c>
      <c r="AB49" s="0" t="s">
        <v>36</v>
      </c>
      <c r="AC49" s="0" t="s">
        <v>152</v>
      </c>
      <c r="AD49" s="0" t="n">
        <v>10</v>
      </c>
      <c r="AE49" s="0" t="n">
        <v>-0.2</v>
      </c>
      <c r="AF49" s="0" t="n">
        <v>4.71</v>
      </c>
      <c r="AG49" s="0" t="n">
        <v>1.49</v>
      </c>
      <c r="AH49" s="0" t="n">
        <v>-11</v>
      </c>
      <c r="AI49" s="0" t="n">
        <v>5</v>
      </c>
    </row>
    <row r="50" customFormat="false" ht="15" hidden="false" customHeight="false" outlineLevel="0" collapsed="false">
      <c r="A50" s="4" t="n">
        <v>39428</v>
      </c>
      <c r="B50" s="0" t="s">
        <v>12</v>
      </c>
      <c r="C50" s="1" t="n">
        <v>8</v>
      </c>
      <c r="D50" s="0" t="s">
        <v>18</v>
      </c>
      <c r="E50" s="1" t="n">
        <f aca="false">crudos!E50+crudos!F50</f>
        <v>1</v>
      </c>
      <c r="F50" s="1" t="n">
        <f aca="false">crudos!G50+crudos!H50</f>
        <v>0</v>
      </c>
      <c r="G50" s="1" t="n">
        <f aca="false">crudos!I50+crudos!J50</f>
        <v>0</v>
      </c>
      <c r="H50" s="2"/>
      <c r="I50" s="1"/>
      <c r="J50" s="1"/>
      <c r="K50" s="14"/>
      <c r="L50" s="27" t="n">
        <v>2</v>
      </c>
      <c r="M50" s="43" t="n">
        <v>5</v>
      </c>
      <c r="N50" s="44" t="n">
        <v>0</v>
      </c>
      <c r="O50" s="44" t="n">
        <v>3</v>
      </c>
      <c r="P50" s="45" t="n">
        <v>1</v>
      </c>
      <c r="Q50" s="1" t="s">
        <v>38</v>
      </c>
      <c r="R50" s="1" t="n">
        <v>7</v>
      </c>
      <c r="S50" s="1" t="n">
        <v>6</v>
      </c>
      <c r="T50" s="1" t="n">
        <v>0</v>
      </c>
      <c r="U50" s="1" t="n">
        <f aca="false">SUM(R50:T50)</f>
        <v>13</v>
      </c>
      <c r="V50" s="1" t="n">
        <v>0</v>
      </c>
      <c r="W50" s="1" t="n">
        <f aca="false">R50-V50</f>
        <v>7</v>
      </c>
      <c r="X50" s="1" t="n">
        <f aca="false">S50-V50</f>
        <v>6</v>
      </c>
      <c r="Y50" s="1" t="n">
        <f aca="false">T50-V50</f>
        <v>0</v>
      </c>
      <c r="Z50" s="1" t="n">
        <f aca="false">U50-V50</f>
        <v>13</v>
      </c>
      <c r="AB50" s="0" t="s">
        <v>36</v>
      </c>
      <c r="AC50" s="0" t="s">
        <v>153</v>
      </c>
      <c r="AD50" s="0" t="n">
        <v>10</v>
      </c>
      <c r="AE50" s="0" t="n">
        <v>0.5</v>
      </c>
      <c r="AF50" s="0" t="n">
        <v>4.62</v>
      </c>
      <c r="AG50" s="0" t="n">
        <v>1.46</v>
      </c>
      <c r="AH50" s="0" t="n">
        <v>-9</v>
      </c>
      <c r="AI50" s="0" t="n">
        <v>5</v>
      </c>
    </row>
    <row r="51" customFormat="false" ht="15" hidden="false" customHeight="false" outlineLevel="0" collapsed="false">
      <c r="A51" s="4" t="n">
        <v>39428</v>
      </c>
      <c r="B51" s="0" t="s">
        <v>12</v>
      </c>
      <c r="C51" s="1" t="n">
        <v>9</v>
      </c>
      <c r="D51" s="0" t="s">
        <v>13</v>
      </c>
      <c r="E51" s="1" t="n">
        <f aca="false">crudos!E51+crudos!F51</f>
        <v>2</v>
      </c>
      <c r="F51" s="1" t="n">
        <f aca="false">crudos!G51+crudos!H51</f>
        <v>0</v>
      </c>
      <c r="G51" s="1" t="n">
        <f aca="false">crudos!I51+crudos!J51</f>
        <v>0</v>
      </c>
      <c r="H51" s="2" t="n">
        <v>0</v>
      </c>
      <c r="I51" s="1"/>
      <c r="J51" s="1"/>
      <c r="K51" s="14"/>
      <c r="L51" s="27" t="n">
        <v>3</v>
      </c>
      <c r="M51" s="43" t="n">
        <v>10</v>
      </c>
      <c r="N51" s="44" t="n">
        <v>4</v>
      </c>
      <c r="O51" s="44" t="n">
        <v>4</v>
      </c>
      <c r="P51" s="45" t="n">
        <v>2</v>
      </c>
      <c r="Q51" s="1" t="s">
        <v>38</v>
      </c>
      <c r="R51" s="1" t="n">
        <v>3</v>
      </c>
      <c r="S51" s="1" t="n">
        <v>2</v>
      </c>
      <c r="T51" s="1" t="n">
        <v>0</v>
      </c>
      <c r="U51" s="1" t="n">
        <f aca="false">SUM(R51:T51)</f>
        <v>5</v>
      </c>
      <c r="V51" s="1" t="n">
        <v>2</v>
      </c>
      <c r="W51" s="1" t="n">
        <f aca="false">R51-V51</f>
        <v>1</v>
      </c>
      <c r="X51" s="1" t="n">
        <f aca="false">S51-V51</f>
        <v>0</v>
      </c>
      <c r="Y51" s="1" t="n">
        <f aca="false">T51-V51</f>
        <v>-2</v>
      </c>
      <c r="Z51" s="1" t="n">
        <f aca="false">U51-V51</f>
        <v>3</v>
      </c>
      <c r="AB51" s="0" t="s">
        <v>36</v>
      </c>
      <c r="AC51" s="0" t="s">
        <v>154</v>
      </c>
      <c r="AD51" s="0" t="n">
        <v>10</v>
      </c>
      <c r="AE51" s="0" t="n">
        <v>18.6</v>
      </c>
      <c r="AF51" s="0" t="n">
        <v>5.83</v>
      </c>
      <c r="AG51" s="0" t="n">
        <v>1.85</v>
      </c>
      <c r="AH51" s="0" t="n">
        <v>8</v>
      </c>
      <c r="AI51" s="0" t="n">
        <v>28</v>
      </c>
    </row>
    <row r="52" customFormat="false" ht="15" hidden="false" customHeight="false" outlineLevel="0" collapsed="false">
      <c r="A52" s="4" t="n">
        <v>39428</v>
      </c>
      <c r="B52" s="0" t="s">
        <v>12</v>
      </c>
      <c r="C52" s="1" t="n">
        <v>9</v>
      </c>
      <c r="D52" s="0" t="s">
        <v>14</v>
      </c>
      <c r="E52" s="1" t="n">
        <f aca="false">crudos!E52+crudos!F52</f>
        <v>2</v>
      </c>
      <c r="F52" s="1" t="n">
        <f aca="false">crudos!G52+crudos!H52</f>
        <v>0</v>
      </c>
      <c r="G52" s="1" t="n">
        <f aca="false">crudos!I52+crudos!J52</f>
        <v>0</v>
      </c>
      <c r="H52" s="2"/>
      <c r="I52" s="1"/>
      <c r="J52" s="1"/>
      <c r="K52" s="14"/>
      <c r="L52" s="27" t="n">
        <v>4</v>
      </c>
      <c r="M52" s="43" t="n">
        <v>5</v>
      </c>
      <c r="N52" s="44" t="n">
        <v>3</v>
      </c>
      <c r="O52" s="44" t="n">
        <v>3</v>
      </c>
      <c r="P52" s="45" t="n">
        <v>1</v>
      </c>
      <c r="Q52" s="1" t="s">
        <v>38</v>
      </c>
      <c r="R52" s="1" t="n">
        <v>9</v>
      </c>
      <c r="S52" s="1" t="n">
        <v>6</v>
      </c>
      <c r="T52" s="1" t="n">
        <v>0</v>
      </c>
      <c r="U52" s="1" t="n">
        <f aca="false">SUM(R52:T52)</f>
        <v>15</v>
      </c>
      <c r="V52" s="1" t="n">
        <v>2</v>
      </c>
      <c r="W52" s="1" t="n">
        <f aca="false">R52-V52</f>
        <v>7</v>
      </c>
      <c r="X52" s="1" t="n">
        <f aca="false">S52-V52</f>
        <v>4</v>
      </c>
      <c r="Y52" s="1" t="n">
        <f aca="false">T52-V52</f>
        <v>-2</v>
      </c>
      <c r="Z52" s="1" t="n">
        <f aca="false">U52-V52</f>
        <v>13</v>
      </c>
      <c r="AB52" s="0" t="s">
        <v>38</v>
      </c>
      <c r="AC52" s="0" t="s">
        <v>146</v>
      </c>
      <c r="AD52" s="0" t="n">
        <v>10</v>
      </c>
      <c r="AE52" s="0" t="n">
        <v>6.2</v>
      </c>
      <c r="AF52" s="0" t="n">
        <v>4.26</v>
      </c>
      <c r="AG52" s="0" t="n">
        <v>1.35</v>
      </c>
      <c r="AH52" s="0" t="n">
        <v>0</v>
      </c>
      <c r="AI52" s="0" t="n">
        <v>15</v>
      </c>
    </row>
    <row r="53" customFormat="false" ht="15" hidden="false" customHeight="false" outlineLevel="0" collapsed="false">
      <c r="A53" s="4" t="n">
        <v>39428</v>
      </c>
      <c r="B53" s="0" t="s">
        <v>12</v>
      </c>
      <c r="C53" s="1" t="n">
        <v>9</v>
      </c>
      <c r="D53" s="0" t="s">
        <v>15</v>
      </c>
      <c r="E53" s="1" t="n">
        <f aca="false">crudos!E53+crudos!F53</f>
        <v>2</v>
      </c>
      <c r="F53" s="1" t="n">
        <f aca="false">crudos!G53+crudos!H53</f>
        <v>0</v>
      </c>
      <c r="G53" s="1" t="n">
        <f aca="false">crudos!I53+crudos!J53</f>
        <v>0</v>
      </c>
      <c r="H53" s="2"/>
      <c r="I53" s="1"/>
      <c r="J53" s="1"/>
      <c r="K53" s="14"/>
      <c r="L53" s="27" t="n">
        <v>5</v>
      </c>
      <c r="M53" s="43" t="n">
        <v>3</v>
      </c>
      <c r="N53" s="44" t="n">
        <v>0</v>
      </c>
      <c r="O53" s="44" t="n">
        <v>0</v>
      </c>
      <c r="P53" s="45" t="n">
        <v>2</v>
      </c>
      <c r="Q53" s="1" t="s">
        <v>38</v>
      </c>
      <c r="R53" s="1" t="n">
        <v>0</v>
      </c>
      <c r="S53" s="1" t="n">
        <v>0</v>
      </c>
      <c r="T53" s="1" t="n">
        <v>0</v>
      </c>
      <c r="U53" s="1" t="n">
        <f aca="false">SUM(R53:T53)</f>
        <v>0</v>
      </c>
      <c r="V53" s="1" t="n">
        <v>1</v>
      </c>
      <c r="W53" s="1" t="n">
        <f aca="false">R53-V53</f>
        <v>-1</v>
      </c>
      <c r="X53" s="1" t="n">
        <f aca="false">S53-V53</f>
        <v>-1</v>
      </c>
      <c r="Y53" s="1" t="n">
        <f aca="false">T53-V53</f>
        <v>-1</v>
      </c>
      <c r="Z53" s="1" t="n">
        <f aca="false">U53-V53</f>
        <v>-1</v>
      </c>
      <c r="AB53" s="0" t="s">
        <v>38</v>
      </c>
      <c r="AC53" s="0" t="s">
        <v>147</v>
      </c>
      <c r="AD53" s="0" t="n">
        <v>10</v>
      </c>
      <c r="AE53" s="0" t="n">
        <v>2.5</v>
      </c>
      <c r="AF53" s="0" t="n">
        <v>2.32</v>
      </c>
      <c r="AG53" s="0" t="n">
        <v>0.73</v>
      </c>
      <c r="AH53" s="0" t="n">
        <v>0</v>
      </c>
      <c r="AI53" s="0" t="n">
        <v>6</v>
      </c>
    </row>
    <row r="54" customFormat="false" ht="15" hidden="false" customHeight="false" outlineLevel="0" collapsed="false">
      <c r="A54" s="4" t="n">
        <v>39428</v>
      </c>
      <c r="B54" s="0" t="s">
        <v>12</v>
      </c>
      <c r="C54" s="1" t="n">
        <v>9</v>
      </c>
      <c r="D54" s="0" t="s">
        <v>16</v>
      </c>
      <c r="E54" s="1" t="n">
        <f aca="false">crudos!E54+crudos!F54</f>
        <v>0</v>
      </c>
      <c r="F54" s="1" t="n">
        <f aca="false">crudos!G54+crudos!H54</f>
        <v>0</v>
      </c>
      <c r="G54" s="1" t="n">
        <f aca="false">crudos!I54+crudos!J54</f>
        <v>0</v>
      </c>
      <c r="H54" s="2"/>
      <c r="I54" s="1"/>
      <c r="J54" s="1"/>
      <c r="K54" s="14"/>
      <c r="L54" s="27" t="n">
        <v>6</v>
      </c>
      <c r="M54" s="43" t="n">
        <v>7</v>
      </c>
      <c r="N54" s="44" t="n">
        <v>6</v>
      </c>
      <c r="O54" s="44" t="n">
        <v>0</v>
      </c>
      <c r="P54" s="45" t="n">
        <v>0</v>
      </c>
      <c r="Q54" s="1" t="s">
        <v>38</v>
      </c>
      <c r="R54" s="1" t="n">
        <v>5</v>
      </c>
      <c r="S54" s="1" t="n">
        <v>1</v>
      </c>
      <c r="T54" s="1" t="n">
        <v>0</v>
      </c>
      <c r="U54" s="1" t="n">
        <f aca="false">SUM(R54:T54)</f>
        <v>6</v>
      </c>
      <c r="V54" s="1" t="n">
        <v>0</v>
      </c>
      <c r="W54" s="1" t="n">
        <f aca="false">R54-V54</f>
        <v>5</v>
      </c>
      <c r="X54" s="1" t="n">
        <f aca="false">S54-V54</f>
        <v>1</v>
      </c>
      <c r="Y54" s="1" t="n">
        <f aca="false">T54-V54</f>
        <v>0</v>
      </c>
      <c r="Z54" s="1" t="n">
        <f aca="false">U54-V54</f>
        <v>6</v>
      </c>
      <c r="AB54" s="0" t="s">
        <v>38</v>
      </c>
      <c r="AC54" s="0" t="s">
        <v>148</v>
      </c>
      <c r="AD54" s="0" t="n">
        <v>10</v>
      </c>
      <c r="AE54" s="0" t="n">
        <v>1.3</v>
      </c>
      <c r="AF54" s="0" t="n">
        <v>1.7</v>
      </c>
      <c r="AG54" s="0" t="n">
        <v>0.54</v>
      </c>
      <c r="AH54" s="0" t="n">
        <v>0</v>
      </c>
      <c r="AI54" s="0" t="n">
        <v>4</v>
      </c>
    </row>
    <row r="55" customFormat="false" ht="15" hidden="false" customHeight="false" outlineLevel="0" collapsed="false">
      <c r="A55" s="4" t="n">
        <v>39428</v>
      </c>
      <c r="B55" s="0" t="s">
        <v>12</v>
      </c>
      <c r="C55" s="1" t="n">
        <v>9</v>
      </c>
      <c r="D55" s="0" t="s">
        <v>17</v>
      </c>
      <c r="E55" s="1" t="n">
        <f aca="false">crudos!E55+crudos!F55</f>
        <v>4</v>
      </c>
      <c r="F55" s="1" t="n">
        <f aca="false">crudos!G55+crudos!H55</f>
        <v>6</v>
      </c>
      <c r="G55" s="1" t="n">
        <f aca="false">crudos!I55+crudos!J55</f>
        <v>4</v>
      </c>
      <c r="H55" s="2"/>
      <c r="I55" s="1"/>
      <c r="J55" s="1"/>
      <c r="K55" s="14"/>
      <c r="L55" s="27" t="n">
        <v>7</v>
      </c>
      <c r="M55" s="43" t="n">
        <v>3</v>
      </c>
      <c r="N55" s="44" t="n">
        <v>2</v>
      </c>
      <c r="O55" s="44" t="n">
        <v>0</v>
      </c>
      <c r="P55" s="45" t="n">
        <v>2</v>
      </c>
      <c r="Q55" s="1" t="s">
        <v>39</v>
      </c>
      <c r="R55" s="1" t="n">
        <v>25</v>
      </c>
      <c r="S55" s="1" t="n">
        <v>4</v>
      </c>
      <c r="T55" s="1" t="n">
        <v>11</v>
      </c>
      <c r="U55" s="1" t="n">
        <f aca="false">SUM(R55:T55)</f>
        <v>40</v>
      </c>
      <c r="V55" s="1" t="n">
        <v>0</v>
      </c>
      <c r="W55" s="1" t="n">
        <f aca="false">R55-V55</f>
        <v>25</v>
      </c>
      <c r="X55" s="1" t="n">
        <f aca="false">S55-V55</f>
        <v>4</v>
      </c>
      <c r="Y55" s="1" t="n">
        <f aca="false">T55-V55</f>
        <v>11</v>
      </c>
      <c r="Z55" s="1" t="n">
        <f aca="false">U55-V55</f>
        <v>40</v>
      </c>
      <c r="AB55" s="0" t="s">
        <v>38</v>
      </c>
      <c r="AC55" s="0" t="s">
        <v>149</v>
      </c>
      <c r="AD55" s="0" t="n">
        <v>10</v>
      </c>
      <c r="AE55" s="0" t="n">
        <v>10</v>
      </c>
      <c r="AF55" s="0" t="n">
        <v>6.78</v>
      </c>
      <c r="AG55" s="0" t="n">
        <v>2.14</v>
      </c>
      <c r="AH55" s="0" t="n">
        <v>0</v>
      </c>
      <c r="AI55" s="0" t="n">
        <v>21</v>
      </c>
    </row>
    <row r="56" customFormat="false" ht="15" hidden="false" customHeight="false" outlineLevel="0" collapsed="false">
      <c r="A56" s="4" t="n">
        <v>39428</v>
      </c>
      <c r="B56" s="0" t="s">
        <v>12</v>
      </c>
      <c r="C56" s="1" t="n">
        <v>9</v>
      </c>
      <c r="D56" s="0" t="s">
        <v>18</v>
      </c>
      <c r="E56" s="1" t="n">
        <f aca="false">crudos!E56+crudos!F56</f>
        <v>0</v>
      </c>
      <c r="F56" s="1" t="n">
        <f aca="false">crudos!G56+crudos!H56</f>
        <v>0</v>
      </c>
      <c r="G56" s="1" t="n">
        <f aca="false">crudos!I56+crudos!J56</f>
        <v>0</v>
      </c>
      <c r="H56" s="2"/>
      <c r="I56" s="1"/>
      <c r="J56" s="1"/>
      <c r="K56" s="14"/>
      <c r="L56" s="27" t="n">
        <v>8</v>
      </c>
      <c r="M56" s="43" t="n">
        <v>9</v>
      </c>
      <c r="N56" s="44" t="n">
        <v>6</v>
      </c>
      <c r="O56" s="44" t="n">
        <v>0</v>
      </c>
      <c r="P56" s="45" t="n">
        <v>2</v>
      </c>
      <c r="Q56" s="1" t="s">
        <v>39</v>
      </c>
      <c r="R56" s="1" t="n">
        <v>14</v>
      </c>
      <c r="S56" s="1" t="n">
        <v>1</v>
      </c>
      <c r="T56" s="1" t="n">
        <v>4</v>
      </c>
      <c r="U56" s="1" t="n">
        <f aca="false">SUM(R56:T56)</f>
        <v>19</v>
      </c>
      <c r="V56" s="1" t="n">
        <v>0</v>
      </c>
      <c r="W56" s="1" t="n">
        <f aca="false">R56-V56</f>
        <v>14</v>
      </c>
      <c r="X56" s="1" t="n">
        <f aca="false">S56-V56</f>
        <v>1</v>
      </c>
      <c r="Y56" s="1" t="n">
        <f aca="false">T56-V56</f>
        <v>4</v>
      </c>
      <c r="Z56" s="1" t="n">
        <f aca="false">U56-V56</f>
        <v>19</v>
      </c>
      <c r="AB56" s="0" t="s">
        <v>38</v>
      </c>
      <c r="AC56" s="60" t="s">
        <v>150</v>
      </c>
      <c r="AD56" s="60" t="n">
        <v>10</v>
      </c>
      <c r="AE56" s="60" t="n">
        <v>1.8</v>
      </c>
      <c r="AF56" s="60" t="n">
        <v>1.99</v>
      </c>
      <c r="AG56" s="60" t="n">
        <v>0.63</v>
      </c>
      <c r="AH56" s="60" t="n">
        <v>0</v>
      </c>
      <c r="AI56" s="60" t="n">
        <v>7</v>
      </c>
    </row>
    <row r="57" customFormat="false" ht="15" hidden="false" customHeight="false" outlineLevel="0" collapsed="false">
      <c r="A57" s="4" t="n">
        <v>39428</v>
      </c>
      <c r="B57" s="0" t="s">
        <v>12</v>
      </c>
      <c r="C57" s="1" t="n">
        <v>10</v>
      </c>
      <c r="D57" s="0" t="s">
        <v>13</v>
      </c>
      <c r="E57" s="1" t="n">
        <f aca="false">crudos!E57+crudos!F57</f>
        <v>6</v>
      </c>
      <c r="F57" s="1" t="n">
        <f aca="false">crudos!G57+crudos!H57</f>
        <v>0</v>
      </c>
      <c r="G57" s="1" t="n">
        <f aca="false">crudos!I57+crudos!J57</f>
        <v>0</v>
      </c>
      <c r="H57" s="2" t="n">
        <v>0</v>
      </c>
      <c r="I57" s="1"/>
      <c r="J57" s="1"/>
      <c r="K57" s="14"/>
      <c r="L57" s="27" t="n">
        <v>9</v>
      </c>
      <c r="M57" s="43" t="n">
        <v>0</v>
      </c>
      <c r="N57" s="44" t="n">
        <v>0</v>
      </c>
      <c r="O57" s="44" t="n">
        <v>0</v>
      </c>
      <c r="P57" s="45" t="n">
        <v>1</v>
      </c>
      <c r="Q57" s="1" t="s">
        <v>39</v>
      </c>
      <c r="R57" s="1" t="n">
        <v>18</v>
      </c>
      <c r="S57" s="1" t="n">
        <v>3</v>
      </c>
      <c r="T57" s="1" t="n">
        <v>5</v>
      </c>
      <c r="U57" s="1" t="n">
        <f aca="false">SUM(R57:T57)</f>
        <v>26</v>
      </c>
      <c r="V57" s="1" t="n">
        <v>1</v>
      </c>
      <c r="W57" s="1" t="n">
        <f aca="false">R57-V57</f>
        <v>17</v>
      </c>
      <c r="X57" s="1" t="n">
        <f aca="false">S57-V57</f>
        <v>2</v>
      </c>
      <c r="Y57" s="1" t="n">
        <f aca="false">T57-V57</f>
        <v>4</v>
      </c>
      <c r="Z57" s="1" t="n">
        <f aca="false">U57-V57</f>
        <v>25</v>
      </c>
      <c r="AB57" s="0" t="s">
        <v>38</v>
      </c>
      <c r="AC57" s="0" t="s">
        <v>151</v>
      </c>
      <c r="AD57" s="0" t="n">
        <v>10</v>
      </c>
      <c r="AE57" s="0" t="n">
        <v>4.4</v>
      </c>
      <c r="AF57" s="0" t="n">
        <v>3.2</v>
      </c>
      <c r="AG57" s="0" t="n">
        <v>1.01</v>
      </c>
      <c r="AH57" s="0" t="n">
        <v>-1</v>
      </c>
      <c r="AI57" s="0" t="n">
        <v>8</v>
      </c>
    </row>
    <row r="58" customFormat="false" ht="15" hidden="false" customHeight="false" outlineLevel="0" collapsed="false">
      <c r="A58" s="4" t="n">
        <v>39428</v>
      </c>
      <c r="B58" s="0" t="s">
        <v>12</v>
      </c>
      <c r="C58" s="1" t="n">
        <v>10</v>
      </c>
      <c r="D58" s="0" t="s">
        <v>14</v>
      </c>
      <c r="E58" s="1" t="n">
        <f aca="false">crudos!E58+crudos!F58</f>
        <v>24</v>
      </c>
      <c r="F58" s="1" t="n">
        <f aca="false">crudos!G58+crudos!H58</f>
        <v>0</v>
      </c>
      <c r="G58" s="1" t="n">
        <f aca="false">crudos!I58+crudos!J58</f>
        <v>0</v>
      </c>
      <c r="H58" s="2"/>
      <c r="I58" s="1"/>
      <c r="J58" s="1"/>
      <c r="K58" s="28"/>
      <c r="L58" s="29" t="n">
        <v>10</v>
      </c>
      <c r="M58" s="47" t="n">
        <v>5</v>
      </c>
      <c r="N58" s="48" t="n">
        <v>1</v>
      </c>
      <c r="O58" s="48" t="n">
        <v>0</v>
      </c>
      <c r="P58" s="49" t="n">
        <v>0</v>
      </c>
      <c r="Q58" s="1" t="s">
        <v>39</v>
      </c>
      <c r="R58" s="1" t="n">
        <v>5</v>
      </c>
      <c r="S58" s="1" t="n">
        <v>3</v>
      </c>
      <c r="T58" s="1" t="n">
        <v>4</v>
      </c>
      <c r="U58" s="1" t="n">
        <f aca="false">SUM(R58:T58)</f>
        <v>12</v>
      </c>
      <c r="V58" s="1" t="n">
        <v>0</v>
      </c>
      <c r="W58" s="1" t="n">
        <f aca="false">R58-V58</f>
        <v>5</v>
      </c>
      <c r="X58" s="1" t="n">
        <f aca="false">S58-V58</f>
        <v>3</v>
      </c>
      <c r="Y58" s="1" t="n">
        <f aca="false">T58-V58</f>
        <v>4</v>
      </c>
      <c r="Z58" s="1" t="n">
        <f aca="false">U58-V58</f>
        <v>12</v>
      </c>
      <c r="AB58" s="0" t="s">
        <v>38</v>
      </c>
      <c r="AC58" s="0" t="s">
        <v>152</v>
      </c>
      <c r="AD58" s="0" t="n">
        <v>10</v>
      </c>
      <c r="AE58" s="0" t="n">
        <v>0.7</v>
      </c>
      <c r="AF58" s="0" t="n">
        <v>2.95</v>
      </c>
      <c r="AG58" s="0" t="n">
        <v>0.93</v>
      </c>
      <c r="AH58" s="0" t="n">
        <v>-4</v>
      </c>
      <c r="AI58" s="0" t="n">
        <v>6</v>
      </c>
    </row>
    <row r="59" customFormat="false" ht="15" hidden="false" customHeight="false" outlineLevel="0" collapsed="false">
      <c r="A59" s="4" t="n">
        <v>39428</v>
      </c>
      <c r="B59" s="0" t="s">
        <v>12</v>
      </c>
      <c r="C59" s="1" t="n">
        <v>10</v>
      </c>
      <c r="D59" s="0" t="s">
        <v>15</v>
      </c>
      <c r="E59" s="1" t="n">
        <f aca="false">crudos!E59+crudos!F59</f>
        <v>2</v>
      </c>
      <c r="F59" s="1" t="n">
        <f aca="false">crudos!G59+crudos!H59</f>
        <v>0</v>
      </c>
      <c r="G59" s="1" t="n">
        <f aca="false">crudos!I59+crudos!J59</f>
        <v>0</v>
      </c>
      <c r="H59" s="2"/>
      <c r="I59" s="1"/>
      <c r="J59" s="1"/>
      <c r="K59" s="8" t="s">
        <v>12</v>
      </c>
      <c r="L59" s="26"/>
      <c r="M59" s="39" t="n">
        <v>165</v>
      </c>
      <c r="N59" s="40" t="n">
        <v>33</v>
      </c>
      <c r="O59" s="40" t="n">
        <v>37</v>
      </c>
      <c r="P59" s="41" t="n">
        <v>2</v>
      </c>
      <c r="Q59" s="1" t="s">
        <v>39</v>
      </c>
      <c r="R59" s="1" t="n">
        <v>15</v>
      </c>
      <c r="S59" s="1" t="n">
        <v>4</v>
      </c>
      <c r="T59" s="1" t="n">
        <v>1</v>
      </c>
      <c r="U59" s="1" t="n">
        <f aca="false">SUM(R59:T59)</f>
        <v>20</v>
      </c>
      <c r="V59" s="1" t="n">
        <v>1</v>
      </c>
      <c r="W59" s="1" t="n">
        <f aca="false">R59-V59</f>
        <v>14</v>
      </c>
      <c r="X59" s="1" t="n">
        <f aca="false">S59-V59</f>
        <v>3</v>
      </c>
      <c r="Y59" s="1" t="n">
        <f aca="false">T59-V59</f>
        <v>0</v>
      </c>
      <c r="Z59" s="1" t="n">
        <f aca="false">U59-V59</f>
        <v>19</v>
      </c>
      <c r="AB59" s="0" t="s">
        <v>38</v>
      </c>
      <c r="AC59" s="0" t="s">
        <v>153</v>
      </c>
      <c r="AD59" s="0" t="n">
        <v>10</v>
      </c>
      <c r="AE59" s="0" t="n">
        <v>-0.5</v>
      </c>
      <c r="AF59" s="0" t="n">
        <v>2.07</v>
      </c>
      <c r="AG59" s="0" t="n">
        <v>0.65</v>
      </c>
      <c r="AH59" s="0" t="n">
        <v>-4</v>
      </c>
      <c r="AI59" s="0" t="n">
        <v>2</v>
      </c>
    </row>
    <row r="60" customFormat="false" ht="15" hidden="false" customHeight="false" outlineLevel="0" collapsed="false">
      <c r="A60" s="4" t="n">
        <v>39428</v>
      </c>
      <c r="B60" s="0" t="s">
        <v>12</v>
      </c>
      <c r="C60" s="1" t="n">
        <v>10</v>
      </c>
      <c r="D60" s="0" t="s">
        <v>16</v>
      </c>
      <c r="E60" s="1" t="n">
        <f aca="false">crudos!E60+crudos!F60</f>
        <v>0</v>
      </c>
      <c r="F60" s="1" t="n">
        <f aca="false">crudos!G60+crudos!H60</f>
        <v>0</v>
      </c>
      <c r="G60" s="1" t="n">
        <f aca="false">crudos!I60+crudos!J60</f>
        <v>0</v>
      </c>
      <c r="H60" s="2"/>
      <c r="I60" s="1"/>
      <c r="J60" s="1"/>
      <c r="K60" s="14"/>
      <c r="L60" s="27" t="n">
        <v>1</v>
      </c>
      <c r="M60" s="43" t="n">
        <v>25</v>
      </c>
      <c r="N60" s="44" t="n">
        <v>4</v>
      </c>
      <c r="O60" s="44" t="n">
        <v>11</v>
      </c>
      <c r="P60" s="45" t="n">
        <v>0</v>
      </c>
      <c r="Q60" s="1" t="s">
        <v>39</v>
      </c>
      <c r="R60" s="1" t="n">
        <v>15</v>
      </c>
      <c r="S60" s="1" t="n">
        <v>3</v>
      </c>
      <c r="T60" s="1" t="n">
        <v>0</v>
      </c>
      <c r="U60" s="1" t="n">
        <f aca="false">SUM(R60:T60)</f>
        <v>18</v>
      </c>
      <c r="V60" s="1" t="n">
        <v>0</v>
      </c>
      <c r="W60" s="1" t="n">
        <f aca="false">R60-V60</f>
        <v>15</v>
      </c>
      <c r="X60" s="1" t="n">
        <f aca="false">S60-V60</f>
        <v>3</v>
      </c>
      <c r="Y60" s="1" t="n">
        <f aca="false">T60-V60</f>
        <v>0</v>
      </c>
      <c r="Z60" s="1" t="n">
        <f aca="false">U60-V60</f>
        <v>18</v>
      </c>
      <c r="AB60" s="0" t="s">
        <v>38</v>
      </c>
      <c r="AC60" s="0" t="s">
        <v>154</v>
      </c>
      <c r="AD60" s="0" t="n">
        <v>10</v>
      </c>
      <c r="AE60" s="0" t="n">
        <v>8.2</v>
      </c>
      <c r="AF60" s="0" t="n">
        <v>5.9</v>
      </c>
      <c r="AG60" s="0" t="n">
        <v>1.87</v>
      </c>
      <c r="AH60" s="0" t="n">
        <v>-1</v>
      </c>
      <c r="AI60" s="0" t="n">
        <v>16</v>
      </c>
    </row>
    <row r="61" customFormat="false" ht="15" hidden="false" customHeight="false" outlineLevel="0" collapsed="false">
      <c r="A61" s="4" t="n">
        <v>39428</v>
      </c>
      <c r="B61" s="0" t="s">
        <v>12</v>
      </c>
      <c r="C61" s="1" t="n">
        <v>10</v>
      </c>
      <c r="D61" s="0" t="s">
        <v>17</v>
      </c>
      <c r="E61" s="1" t="n">
        <f aca="false">crudos!E61+crudos!F61</f>
        <v>0</v>
      </c>
      <c r="F61" s="1" t="n">
        <f aca="false">crudos!G61+crudos!H61</f>
        <v>4</v>
      </c>
      <c r="G61" s="1" t="n">
        <f aca="false">crudos!I61+crudos!J61</f>
        <v>5</v>
      </c>
      <c r="H61" s="2"/>
      <c r="I61" s="1"/>
      <c r="J61" s="1"/>
      <c r="K61" s="14"/>
      <c r="L61" s="27" t="n">
        <v>2</v>
      </c>
      <c r="M61" s="43" t="n">
        <v>14</v>
      </c>
      <c r="N61" s="44" t="n">
        <v>1</v>
      </c>
      <c r="O61" s="44" t="n">
        <v>4</v>
      </c>
      <c r="P61" s="45" t="n">
        <v>0</v>
      </c>
      <c r="Q61" s="1" t="s">
        <v>39</v>
      </c>
      <c r="R61" s="1" t="n">
        <v>9</v>
      </c>
      <c r="S61" s="1" t="n">
        <v>1</v>
      </c>
      <c r="T61" s="1" t="n">
        <v>3</v>
      </c>
      <c r="U61" s="1" t="n">
        <f aca="false">SUM(R61:T61)</f>
        <v>13</v>
      </c>
      <c r="V61" s="1" t="n">
        <v>0</v>
      </c>
      <c r="W61" s="1" t="n">
        <f aca="false">R61-V61</f>
        <v>9</v>
      </c>
      <c r="X61" s="1" t="n">
        <f aca="false">S61-V61</f>
        <v>1</v>
      </c>
      <c r="Y61" s="1" t="n">
        <f aca="false">T61-V61</f>
        <v>3</v>
      </c>
      <c r="Z61" s="1" t="n">
        <f aca="false">U61-V61</f>
        <v>13</v>
      </c>
    </row>
    <row r="62" customFormat="false" ht="15" hidden="false" customHeight="false" outlineLevel="0" collapsed="false">
      <c r="A62" s="4" t="n">
        <v>39428</v>
      </c>
      <c r="B62" s="0" t="s">
        <v>12</v>
      </c>
      <c r="C62" s="1" t="n">
        <v>10</v>
      </c>
      <c r="D62" s="0" t="s">
        <v>18</v>
      </c>
      <c r="E62" s="1" t="n">
        <f aca="false">crudos!E62+crudos!F62</f>
        <v>0</v>
      </c>
      <c r="F62" s="1" t="n">
        <f aca="false">crudos!G62+crudos!H62</f>
        <v>0</v>
      </c>
      <c r="G62" s="1" t="n">
        <f aca="false">crudos!I62+crudos!J62</f>
        <v>0</v>
      </c>
      <c r="H62" s="2"/>
      <c r="I62" s="1"/>
      <c r="J62" s="1"/>
      <c r="K62" s="14"/>
      <c r="L62" s="27" t="n">
        <v>3</v>
      </c>
      <c r="M62" s="43" t="n">
        <v>18</v>
      </c>
      <c r="N62" s="44" t="n">
        <v>3</v>
      </c>
      <c r="O62" s="44" t="n">
        <v>5</v>
      </c>
      <c r="P62" s="45" t="n">
        <v>1</v>
      </c>
      <c r="Q62" s="1" t="s">
        <v>39</v>
      </c>
      <c r="R62" s="1" t="n">
        <v>22</v>
      </c>
      <c r="S62" s="1" t="n">
        <v>4</v>
      </c>
      <c r="T62" s="1" t="n">
        <v>0</v>
      </c>
      <c r="U62" s="1" t="n">
        <f aca="false">SUM(R62:T62)</f>
        <v>26</v>
      </c>
      <c r="V62" s="1" t="n">
        <v>0</v>
      </c>
      <c r="W62" s="1" t="n">
        <f aca="false">R62-V62</f>
        <v>22</v>
      </c>
      <c r="X62" s="1" t="n">
        <f aca="false">S62-V62</f>
        <v>4</v>
      </c>
      <c r="Y62" s="1" t="n">
        <f aca="false">T62-V62</f>
        <v>0</v>
      </c>
      <c r="Z62" s="1" t="n">
        <f aca="false">U62-V62</f>
        <v>26</v>
      </c>
    </row>
    <row r="63" customFormat="false" ht="15" hidden="false" customHeight="false" outlineLevel="0" collapsed="false">
      <c r="A63" s="4" t="n">
        <v>39356</v>
      </c>
      <c r="B63" s="0" t="s">
        <v>19</v>
      </c>
      <c r="C63" s="1" t="n">
        <v>1</v>
      </c>
      <c r="D63" s="0" t="s">
        <v>13</v>
      </c>
      <c r="E63" s="1" t="n">
        <f aca="false">crudos!E63+crudos!F63</f>
        <v>0</v>
      </c>
      <c r="F63" s="1" t="n">
        <f aca="false">crudos!G63+crudos!H63</f>
        <v>0</v>
      </c>
      <c r="G63" s="1" t="n">
        <f aca="false">crudos!I63+crudos!J63</f>
        <v>0</v>
      </c>
      <c r="H63" s="2" t="n">
        <v>7</v>
      </c>
      <c r="I63" s="1"/>
      <c r="J63" s="1"/>
      <c r="K63" s="14"/>
      <c r="L63" s="27" t="n">
        <v>4</v>
      </c>
      <c r="M63" s="43" t="n">
        <v>5</v>
      </c>
      <c r="N63" s="44" t="n">
        <v>3</v>
      </c>
      <c r="O63" s="44" t="n">
        <v>4</v>
      </c>
      <c r="P63" s="45" t="n">
        <v>0</v>
      </c>
      <c r="Q63" s="1" t="s">
        <v>39</v>
      </c>
      <c r="R63" s="1" t="n">
        <v>10</v>
      </c>
      <c r="S63" s="1" t="n">
        <v>6</v>
      </c>
      <c r="T63" s="1" t="n">
        <v>4</v>
      </c>
      <c r="U63" s="1" t="n">
        <f aca="false">SUM(R63:T63)</f>
        <v>20</v>
      </c>
      <c r="V63" s="1" t="n">
        <v>0</v>
      </c>
      <c r="W63" s="1" t="n">
        <f aca="false">R63-V63</f>
        <v>10</v>
      </c>
      <c r="X63" s="1" t="n">
        <f aca="false">S63-V63</f>
        <v>6</v>
      </c>
      <c r="Y63" s="1" t="n">
        <f aca="false">T63-V63</f>
        <v>4</v>
      </c>
      <c r="Z63" s="1" t="n">
        <f aca="false">U63-V63</f>
        <v>20</v>
      </c>
    </row>
    <row r="64" customFormat="false" ht="15" hidden="false" customHeight="false" outlineLevel="0" collapsed="false">
      <c r="A64" s="4" t="n">
        <v>39356</v>
      </c>
      <c r="B64" s="0" t="s">
        <v>19</v>
      </c>
      <c r="C64" s="1" t="n">
        <v>1</v>
      </c>
      <c r="D64" s="0" t="s">
        <v>14</v>
      </c>
      <c r="E64" s="1" t="n">
        <f aca="false">crudos!E64+crudos!F64</f>
        <v>11</v>
      </c>
      <c r="F64" s="1" t="n">
        <f aca="false">crudos!G64+crudos!H64</f>
        <v>0</v>
      </c>
      <c r="G64" s="1" t="n">
        <f aca="false">crudos!I64+crudos!J64</f>
        <v>0</v>
      </c>
      <c r="H64" s="2"/>
      <c r="I64" s="1"/>
      <c r="J64" s="1"/>
      <c r="K64" s="14"/>
      <c r="L64" s="27" t="n">
        <v>5</v>
      </c>
      <c r="M64" s="43" t="n">
        <v>15</v>
      </c>
      <c r="N64" s="44" t="n">
        <v>4</v>
      </c>
      <c r="O64" s="44" t="n">
        <v>1</v>
      </c>
      <c r="P64" s="45" t="n">
        <v>1</v>
      </c>
      <c r="Q64" s="1" t="s">
        <v>39</v>
      </c>
      <c r="R64" s="1" t="n">
        <v>32</v>
      </c>
      <c r="S64" s="1" t="n">
        <v>4</v>
      </c>
      <c r="T64" s="1" t="n">
        <v>5</v>
      </c>
      <c r="U64" s="1" t="n">
        <f aca="false">SUM(R64:T64)</f>
        <v>41</v>
      </c>
      <c r="V64" s="1" t="n">
        <v>0</v>
      </c>
      <c r="W64" s="1" t="n">
        <f aca="false">R64-V64</f>
        <v>32</v>
      </c>
      <c r="X64" s="1" t="n">
        <f aca="false">S64-V64</f>
        <v>4</v>
      </c>
      <c r="Y64" s="1" t="n">
        <f aca="false">T64-V64</f>
        <v>5</v>
      </c>
      <c r="Z64" s="1" t="n">
        <f aca="false">U64-V64</f>
        <v>41</v>
      </c>
    </row>
    <row r="65" customFormat="false" ht="15" hidden="false" customHeight="false" outlineLevel="0" collapsed="false">
      <c r="A65" s="4" t="n">
        <v>39356</v>
      </c>
      <c r="B65" s="0" t="s">
        <v>19</v>
      </c>
      <c r="C65" s="1" t="n">
        <v>1</v>
      </c>
      <c r="D65" s="0" t="s">
        <v>15</v>
      </c>
      <c r="E65" s="1" t="n">
        <f aca="false">crudos!E65+crudos!F65</f>
        <v>0</v>
      </c>
      <c r="F65" s="1" t="n">
        <f aca="false">crudos!G65+crudos!H65</f>
        <v>0</v>
      </c>
      <c r="G65" s="1" t="n">
        <f aca="false">crudos!I65+crudos!J65</f>
        <v>0</v>
      </c>
      <c r="H65" s="2"/>
      <c r="I65" s="1"/>
      <c r="J65" s="1"/>
      <c r="K65" s="14"/>
      <c r="L65" s="27" t="n">
        <v>6</v>
      </c>
      <c r="M65" s="43" t="n">
        <v>15</v>
      </c>
      <c r="N65" s="44" t="n">
        <v>3</v>
      </c>
      <c r="O65" s="44" t="n">
        <v>0</v>
      </c>
      <c r="P65" s="45" t="n">
        <v>0</v>
      </c>
    </row>
    <row r="66" customFormat="false" ht="15" hidden="false" customHeight="false" outlineLevel="0" collapsed="false">
      <c r="A66" s="4" t="n">
        <v>39356</v>
      </c>
      <c r="B66" s="0" t="s">
        <v>19</v>
      </c>
      <c r="C66" s="1" t="n">
        <v>1</v>
      </c>
      <c r="D66" s="0" t="s">
        <v>16</v>
      </c>
      <c r="E66" s="1" t="n">
        <f aca="false">crudos!E66+crudos!F66</f>
        <v>0</v>
      </c>
      <c r="F66" s="1" t="n">
        <f aca="false">crudos!G66+crudos!H66</f>
        <v>0</v>
      </c>
      <c r="G66" s="1" t="n">
        <f aca="false">crudos!I66+crudos!J66</f>
        <v>0</v>
      </c>
      <c r="H66" s="2"/>
      <c r="I66" s="1"/>
      <c r="J66" s="1"/>
      <c r="K66" s="14"/>
      <c r="L66" s="27" t="n">
        <v>7</v>
      </c>
      <c r="M66" s="43" t="n">
        <v>9</v>
      </c>
      <c r="N66" s="44" t="n">
        <v>1</v>
      </c>
      <c r="O66" s="44" t="n">
        <v>3</v>
      </c>
      <c r="P66" s="45" t="n">
        <v>0</v>
      </c>
    </row>
    <row r="67" customFormat="false" ht="15" hidden="false" customHeight="false" outlineLevel="0" collapsed="false">
      <c r="A67" s="4" t="n">
        <v>39356</v>
      </c>
      <c r="B67" s="0" t="s">
        <v>19</v>
      </c>
      <c r="C67" s="1" t="n">
        <v>1</v>
      </c>
      <c r="D67" s="0" t="s">
        <v>17</v>
      </c>
      <c r="E67" s="1" t="n">
        <f aca="false">crudos!E67+crudos!F67</f>
        <v>4</v>
      </c>
      <c r="F67" s="1" t="n">
        <f aca="false">crudos!G67+crudos!H67</f>
        <v>3</v>
      </c>
      <c r="G67" s="1" t="n">
        <f aca="false">crudos!I67+crudos!J67</f>
        <v>3</v>
      </c>
      <c r="H67" s="2"/>
      <c r="I67" s="1"/>
      <c r="J67" s="1"/>
      <c r="K67" s="14"/>
      <c r="L67" s="27" t="n">
        <v>8</v>
      </c>
      <c r="M67" s="43" t="n">
        <v>22</v>
      </c>
      <c r="N67" s="44" t="n">
        <v>4</v>
      </c>
      <c r="O67" s="44" t="n">
        <v>0</v>
      </c>
      <c r="P67" s="45" t="n">
        <v>0</v>
      </c>
    </row>
    <row r="68" customFormat="false" ht="15" hidden="false" customHeight="false" outlineLevel="0" collapsed="false">
      <c r="A68" s="4" t="n">
        <v>39356</v>
      </c>
      <c r="B68" s="0" t="s">
        <v>19</v>
      </c>
      <c r="C68" s="1" t="n">
        <v>1</v>
      </c>
      <c r="D68" s="0" t="s">
        <v>18</v>
      </c>
      <c r="E68" s="1" t="n">
        <f aca="false">crudos!E68+crudos!F68</f>
        <v>0</v>
      </c>
      <c r="F68" s="1" t="n">
        <f aca="false">crudos!G68+crudos!H68</f>
        <v>0</v>
      </c>
      <c r="G68" s="1" t="n">
        <f aca="false">crudos!I68+crudos!J68</f>
        <v>0</v>
      </c>
      <c r="H68" s="2"/>
      <c r="I68" s="1"/>
      <c r="J68" s="1"/>
      <c r="K68" s="14"/>
      <c r="L68" s="27" t="n">
        <v>9</v>
      </c>
      <c r="M68" s="43" t="n">
        <v>10</v>
      </c>
      <c r="N68" s="44" t="n">
        <v>6</v>
      </c>
      <c r="O68" s="44" t="n">
        <v>4</v>
      </c>
      <c r="P68" s="45" t="n">
        <v>0</v>
      </c>
    </row>
    <row r="69" customFormat="false" ht="15" hidden="false" customHeight="false" outlineLevel="0" collapsed="false">
      <c r="A69" s="4" t="n">
        <v>39357</v>
      </c>
      <c r="B69" s="0" t="s">
        <v>19</v>
      </c>
      <c r="C69" s="1" t="n">
        <v>2</v>
      </c>
      <c r="D69" s="0" t="s">
        <v>13</v>
      </c>
      <c r="E69" s="1" t="n">
        <f aca="false">crudos!E69+crudos!F69</f>
        <v>0</v>
      </c>
      <c r="F69" s="1" t="n">
        <f aca="false">crudos!G69+crudos!H69</f>
        <v>0</v>
      </c>
      <c r="G69" s="1" t="n">
        <f aca="false">crudos!I69+crudos!J69</f>
        <v>0</v>
      </c>
      <c r="H69" s="2" t="n">
        <v>1</v>
      </c>
      <c r="I69" s="1"/>
      <c r="J69" s="1"/>
      <c r="K69" s="28"/>
      <c r="L69" s="29" t="n">
        <v>10</v>
      </c>
      <c r="M69" s="47" t="n">
        <v>32</v>
      </c>
      <c r="N69" s="48" t="n">
        <v>4</v>
      </c>
      <c r="O69" s="48" t="n">
        <v>5</v>
      </c>
      <c r="P69" s="49" t="n">
        <v>0</v>
      </c>
    </row>
    <row r="70" customFormat="false" ht="15" hidden="false" customHeight="false" outlineLevel="0" collapsed="false">
      <c r="A70" s="4" t="n">
        <v>39357</v>
      </c>
      <c r="B70" s="0" t="s">
        <v>19</v>
      </c>
      <c r="C70" s="1" t="n">
        <v>2</v>
      </c>
      <c r="D70" s="0" t="s">
        <v>14</v>
      </c>
      <c r="E70" s="1" t="n">
        <f aca="false">crudos!E70+crudos!F70</f>
        <v>1</v>
      </c>
      <c r="F70" s="1" t="n">
        <f aca="false">crudos!G70+crudos!H70</f>
        <v>0</v>
      </c>
      <c r="G70" s="1" t="n">
        <f aca="false">crudos!I70+crudos!J70</f>
        <v>0</v>
      </c>
      <c r="H70" s="2"/>
      <c r="I70" s="1"/>
      <c r="J70" s="1"/>
      <c r="K70" s="30" t="s">
        <v>40</v>
      </c>
      <c r="L70" s="31"/>
      <c r="M70" s="50" t="n">
        <v>989</v>
      </c>
      <c r="N70" s="51" t="n">
        <v>253</v>
      </c>
      <c r="O70" s="51" t="n">
        <v>248</v>
      </c>
      <c r="P70" s="52" t="n">
        <v>74</v>
      </c>
    </row>
    <row r="71" customFormat="false" ht="15" hidden="false" customHeight="false" outlineLevel="0" collapsed="false">
      <c r="A71" s="4" t="n">
        <v>39357</v>
      </c>
      <c r="B71" s="0" t="s">
        <v>19</v>
      </c>
      <c r="C71" s="1" t="n">
        <v>2</v>
      </c>
      <c r="D71" s="0" t="s">
        <v>15</v>
      </c>
      <c r="E71" s="1" t="n">
        <f aca="false">crudos!E71+crudos!F71</f>
        <v>0</v>
      </c>
      <c r="F71" s="1" t="n">
        <f aca="false">crudos!G71+crudos!H71</f>
        <v>0</v>
      </c>
      <c r="G71" s="1" t="n">
        <f aca="false">crudos!I71+crudos!J71</f>
        <v>0</v>
      </c>
      <c r="H71" s="2"/>
      <c r="I71" s="1"/>
      <c r="J71" s="1"/>
    </row>
    <row r="72" customFormat="false" ht="15" hidden="false" customHeight="false" outlineLevel="0" collapsed="false">
      <c r="A72" s="4" t="n">
        <v>39357</v>
      </c>
      <c r="B72" s="0" t="s">
        <v>19</v>
      </c>
      <c r="C72" s="1" t="n">
        <v>2</v>
      </c>
      <c r="D72" s="0" t="s">
        <v>16</v>
      </c>
      <c r="E72" s="1" t="n">
        <f aca="false">crudos!E72+crudos!F72</f>
        <v>3</v>
      </c>
      <c r="F72" s="1" t="n">
        <f aca="false">crudos!G72+crudos!H72</f>
        <v>0</v>
      </c>
      <c r="G72" s="1" t="n">
        <f aca="false">crudos!I72+crudos!J72</f>
        <v>0</v>
      </c>
      <c r="H72" s="2"/>
      <c r="I72" s="1"/>
      <c r="J72" s="1"/>
    </row>
    <row r="73" customFormat="false" ht="15" hidden="false" customHeight="false" outlineLevel="0" collapsed="false">
      <c r="A73" s="4" t="n">
        <v>39357</v>
      </c>
      <c r="B73" s="0" t="s">
        <v>19</v>
      </c>
      <c r="C73" s="1" t="n">
        <v>2</v>
      </c>
      <c r="D73" s="0" t="s">
        <v>17</v>
      </c>
      <c r="E73" s="1" t="n">
        <f aca="false">crudos!E73+crudos!F73</f>
        <v>1</v>
      </c>
      <c r="F73" s="1" t="n">
        <f aca="false">crudos!G73+crudos!H73</f>
        <v>0</v>
      </c>
      <c r="G73" s="1" t="n">
        <f aca="false">crudos!I73+crudos!J73</f>
        <v>3</v>
      </c>
      <c r="H73" s="2"/>
      <c r="I73" s="1"/>
      <c r="J73" s="1"/>
    </row>
    <row r="74" customFormat="false" ht="15" hidden="false" customHeight="false" outlineLevel="0" collapsed="false">
      <c r="A74" s="4" t="n">
        <v>39357</v>
      </c>
      <c r="B74" s="0" t="s">
        <v>19</v>
      </c>
      <c r="C74" s="1" t="n">
        <v>2</v>
      </c>
      <c r="D74" s="0" t="s">
        <v>18</v>
      </c>
      <c r="E74" s="1" t="n">
        <f aca="false">crudos!E74+crudos!F74</f>
        <v>0</v>
      </c>
      <c r="F74" s="1" t="n">
        <f aca="false">crudos!G74+crudos!H74</f>
        <v>0</v>
      </c>
      <c r="G74" s="1" t="n">
        <f aca="false">crudos!I74+crudos!J74</f>
        <v>0</v>
      </c>
      <c r="H74" s="2"/>
      <c r="I74" s="1"/>
      <c r="J74" s="1"/>
    </row>
    <row r="75" customFormat="false" ht="15" hidden="false" customHeight="false" outlineLevel="0" collapsed="false">
      <c r="A75" s="4" t="n">
        <v>39357</v>
      </c>
      <c r="B75" s="0" t="s">
        <v>19</v>
      </c>
      <c r="C75" s="1" t="n">
        <v>3</v>
      </c>
      <c r="D75" s="0" t="s">
        <v>13</v>
      </c>
      <c r="E75" s="1" t="n">
        <f aca="false">crudos!E75+crudos!F75</f>
        <v>4</v>
      </c>
      <c r="F75" s="1" t="n">
        <f aca="false">crudos!G75+crudos!H75</f>
        <v>4</v>
      </c>
      <c r="G75" s="1" t="n">
        <f aca="false">crudos!I75+crudos!J75</f>
        <v>0</v>
      </c>
      <c r="H75" s="2" t="n">
        <v>2</v>
      </c>
      <c r="I75" s="1"/>
      <c r="J75" s="1"/>
    </row>
    <row r="76" customFormat="false" ht="15" hidden="false" customHeight="false" outlineLevel="0" collapsed="false">
      <c r="A76" s="4" t="n">
        <v>39357</v>
      </c>
      <c r="B76" s="0" t="s">
        <v>19</v>
      </c>
      <c r="C76" s="1" t="n">
        <v>3</v>
      </c>
      <c r="D76" s="0" t="s">
        <v>14</v>
      </c>
      <c r="E76" s="1" t="n">
        <f aca="false">crudos!E76+crudos!F76</f>
        <v>6</v>
      </c>
      <c r="F76" s="1" t="n">
        <f aca="false">crudos!G76+crudos!H76</f>
        <v>0</v>
      </c>
      <c r="G76" s="1" t="n">
        <f aca="false">crudos!I76+crudos!J76</f>
        <v>0</v>
      </c>
      <c r="H76" s="2"/>
      <c r="I76" s="1"/>
      <c r="J76" s="1"/>
    </row>
    <row r="77" customFormat="false" ht="15" hidden="false" customHeight="false" outlineLevel="0" collapsed="false">
      <c r="A77" s="4" t="n">
        <v>39357</v>
      </c>
      <c r="B77" s="0" t="s">
        <v>19</v>
      </c>
      <c r="C77" s="1" t="n">
        <v>3</v>
      </c>
      <c r="D77" s="0" t="s">
        <v>15</v>
      </c>
      <c r="E77" s="1" t="n">
        <f aca="false">crudos!E77+crudos!F77</f>
        <v>0</v>
      </c>
      <c r="F77" s="1" t="n">
        <f aca="false">crudos!G77+crudos!H77</f>
        <v>0</v>
      </c>
      <c r="G77" s="1" t="n">
        <f aca="false">crudos!I77+crudos!J77</f>
        <v>0</v>
      </c>
      <c r="H77" s="2"/>
      <c r="I77" s="1"/>
      <c r="J77" s="1"/>
    </row>
    <row r="78" customFormat="false" ht="15" hidden="false" customHeight="false" outlineLevel="0" collapsed="false">
      <c r="A78" s="4" t="n">
        <v>39357</v>
      </c>
      <c r="B78" s="0" t="s">
        <v>19</v>
      </c>
      <c r="C78" s="1" t="n">
        <v>3</v>
      </c>
      <c r="D78" s="0" t="s">
        <v>16</v>
      </c>
      <c r="E78" s="1" t="n">
        <f aca="false">crudos!E78+crudos!F78</f>
        <v>0</v>
      </c>
      <c r="F78" s="1" t="n">
        <f aca="false">crudos!G78+crudos!H78</f>
        <v>0</v>
      </c>
      <c r="G78" s="1" t="n">
        <f aca="false">crudos!I78+crudos!J78</f>
        <v>2</v>
      </c>
      <c r="H78" s="2"/>
      <c r="I78" s="1"/>
      <c r="J78" s="1"/>
    </row>
    <row r="79" customFormat="false" ht="15" hidden="false" customHeight="false" outlineLevel="0" collapsed="false">
      <c r="A79" s="4" t="n">
        <v>39357</v>
      </c>
      <c r="B79" s="0" t="s">
        <v>19</v>
      </c>
      <c r="C79" s="1" t="n">
        <v>3</v>
      </c>
      <c r="D79" s="0" t="s">
        <v>17</v>
      </c>
      <c r="E79" s="1" t="n">
        <f aca="false">crudos!E79+crudos!F79</f>
        <v>0</v>
      </c>
      <c r="F79" s="1" t="n">
        <f aca="false">crudos!G79+crudos!H79</f>
        <v>0</v>
      </c>
      <c r="G79" s="1" t="n">
        <f aca="false">crudos!I79+crudos!J79</f>
        <v>2</v>
      </c>
      <c r="H79" s="2"/>
      <c r="I79" s="1"/>
      <c r="J79" s="1"/>
    </row>
    <row r="80" customFormat="false" ht="15" hidden="false" customHeight="false" outlineLevel="0" collapsed="false">
      <c r="A80" s="4" t="n">
        <v>39357</v>
      </c>
      <c r="B80" s="0" t="s">
        <v>19</v>
      </c>
      <c r="C80" s="1" t="n">
        <v>3</v>
      </c>
      <c r="D80" s="0" t="s">
        <v>18</v>
      </c>
      <c r="E80" s="1" t="n">
        <f aca="false">crudos!E80+crudos!F80</f>
        <v>0</v>
      </c>
      <c r="F80" s="1" t="n">
        <f aca="false">crudos!G80+crudos!H80</f>
        <v>0</v>
      </c>
      <c r="G80" s="1" t="n">
        <f aca="false">crudos!I80+crudos!J80</f>
        <v>0</v>
      </c>
      <c r="H80" s="2"/>
      <c r="I80" s="1"/>
      <c r="J80" s="1"/>
    </row>
    <row r="81" customFormat="false" ht="15" hidden="false" customHeight="false" outlineLevel="0" collapsed="false">
      <c r="A81" s="4" t="n">
        <v>39357</v>
      </c>
      <c r="B81" s="0" t="s">
        <v>19</v>
      </c>
      <c r="C81" s="1" t="n">
        <v>4</v>
      </c>
      <c r="D81" s="0" t="s">
        <v>13</v>
      </c>
      <c r="E81" s="1" t="n">
        <f aca="false">crudos!E81+crudos!F81</f>
        <v>0</v>
      </c>
      <c r="F81" s="1" t="n">
        <f aca="false">crudos!G81+crudos!H81</f>
        <v>0</v>
      </c>
      <c r="G81" s="1" t="n">
        <f aca="false">crudos!I81+crudos!J81</f>
        <v>0</v>
      </c>
      <c r="H81" s="2" t="n">
        <v>1</v>
      </c>
      <c r="I81" s="1"/>
      <c r="J81" s="1"/>
    </row>
    <row r="82" customFormat="false" ht="15" hidden="false" customHeight="false" outlineLevel="0" collapsed="false">
      <c r="A82" s="4" t="n">
        <v>39357</v>
      </c>
      <c r="B82" s="0" t="s">
        <v>19</v>
      </c>
      <c r="C82" s="1" t="n">
        <v>4</v>
      </c>
      <c r="D82" s="0" t="s">
        <v>14</v>
      </c>
      <c r="E82" s="1" t="n">
        <f aca="false">crudos!E82+crudos!F82</f>
        <v>5</v>
      </c>
      <c r="F82" s="1" t="n">
        <f aca="false">crudos!G82+crudos!H82</f>
        <v>0</v>
      </c>
      <c r="G82" s="1" t="n">
        <f aca="false">crudos!I82+crudos!J82</f>
        <v>0</v>
      </c>
      <c r="H82" s="2"/>
      <c r="I82" s="1"/>
      <c r="J82" s="1"/>
    </row>
    <row r="83" customFormat="false" ht="15" hidden="false" customHeight="false" outlineLevel="0" collapsed="false">
      <c r="A83" s="4" t="n">
        <v>39357</v>
      </c>
      <c r="B83" s="0" t="s">
        <v>19</v>
      </c>
      <c r="C83" s="1" t="n">
        <v>4</v>
      </c>
      <c r="D83" s="0" t="s">
        <v>15</v>
      </c>
      <c r="E83" s="1" t="n">
        <f aca="false">crudos!E83+crudos!F83</f>
        <v>0</v>
      </c>
      <c r="F83" s="1" t="n">
        <f aca="false">crudos!G83+crudos!H83</f>
        <v>0</v>
      </c>
      <c r="G83" s="1" t="n">
        <f aca="false">crudos!I83+crudos!J83</f>
        <v>0</v>
      </c>
      <c r="H83" s="2"/>
      <c r="I83" s="1"/>
      <c r="J83" s="1"/>
    </row>
    <row r="84" customFormat="false" ht="15" hidden="false" customHeight="false" outlineLevel="0" collapsed="false">
      <c r="A84" s="4" t="n">
        <v>39357</v>
      </c>
      <c r="B84" s="0" t="s">
        <v>19</v>
      </c>
      <c r="C84" s="1" t="n">
        <v>4</v>
      </c>
      <c r="D84" s="0" t="s">
        <v>16</v>
      </c>
      <c r="E84" s="1" t="n">
        <f aca="false">crudos!E84+crudos!F84</f>
        <v>0</v>
      </c>
      <c r="F84" s="1" t="n">
        <f aca="false">crudos!G84+crudos!H84</f>
        <v>0</v>
      </c>
      <c r="G84" s="1" t="n">
        <f aca="false">crudos!I84+crudos!J84</f>
        <v>0</v>
      </c>
      <c r="H84" s="2"/>
      <c r="I84" s="1"/>
      <c r="J84" s="1"/>
    </row>
    <row r="85" customFormat="false" ht="15" hidden="false" customHeight="false" outlineLevel="0" collapsed="false">
      <c r="A85" s="4" t="n">
        <v>39357</v>
      </c>
      <c r="B85" s="0" t="s">
        <v>19</v>
      </c>
      <c r="C85" s="1" t="n">
        <v>4</v>
      </c>
      <c r="D85" s="0" t="s">
        <v>17</v>
      </c>
      <c r="E85" s="1" t="n">
        <f aca="false">crudos!E85+crudos!F85</f>
        <v>0</v>
      </c>
      <c r="F85" s="1" t="n">
        <f aca="false">crudos!G85+crudos!H85</f>
        <v>3</v>
      </c>
      <c r="G85" s="1" t="n">
        <f aca="false">crudos!I85+crudos!J85</f>
        <v>3</v>
      </c>
      <c r="H85" s="2"/>
      <c r="I85" s="1"/>
      <c r="J85" s="1"/>
    </row>
    <row r="86" customFormat="false" ht="15" hidden="false" customHeight="false" outlineLevel="0" collapsed="false">
      <c r="A86" s="4" t="n">
        <v>39357</v>
      </c>
      <c r="B86" s="0" t="s">
        <v>19</v>
      </c>
      <c r="C86" s="1" t="n">
        <v>4</v>
      </c>
      <c r="D86" s="0" t="s">
        <v>18</v>
      </c>
      <c r="E86" s="1" t="n">
        <f aca="false">crudos!E86+crudos!F86</f>
        <v>0</v>
      </c>
      <c r="F86" s="1" t="n">
        <f aca="false">crudos!G86+crudos!H86</f>
        <v>0</v>
      </c>
      <c r="G86" s="1" t="n">
        <f aca="false">crudos!I86+crudos!J86</f>
        <v>0</v>
      </c>
      <c r="H86" s="2"/>
      <c r="I86" s="1"/>
      <c r="J86" s="1"/>
    </row>
    <row r="87" customFormat="false" ht="15" hidden="false" customHeight="false" outlineLevel="0" collapsed="false">
      <c r="A87" s="4" t="n">
        <v>39357</v>
      </c>
      <c r="B87" s="0" t="s">
        <v>19</v>
      </c>
      <c r="C87" s="1" t="n">
        <v>5</v>
      </c>
      <c r="D87" s="0" t="s">
        <v>13</v>
      </c>
      <c r="E87" s="1" t="n">
        <f aca="false">crudos!E87+crudos!F87</f>
        <v>0</v>
      </c>
      <c r="F87" s="1" t="n">
        <f aca="false">crudos!G87+crudos!H87</f>
        <v>0</v>
      </c>
      <c r="G87" s="1" t="n">
        <f aca="false">crudos!I87+crudos!J87</f>
        <v>0</v>
      </c>
      <c r="H87" s="2" t="n">
        <v>2</v>
      </c>
      <c r="I87" s="1"/>
      <c r="J87" s="1"/>
    </row>
    <row r="88" customFormat="false" ht="15" hidden="false" customHeight="false" outlineLevel="0" collapsed="false">
      <c r="A88" s="4" t="n">
        <v>39357</v>
      </c>
      <c r="B88" s="0" t="s">
        <v>19</v>
      </c>
      <c r="C88" s="1" t="n">
        <v>5</v>
      </c>
      <c r="D88" s="0" t="s">
        <v>14</v>
      </c>
      <c r="E88" s="1" t="n">
        <f aca="false">crudos!E88+crudos!F88</f>
        <v>3</v>
      </c>
      <c r="F88" s="1" t="n">
        <f aca="false">crudos!G88+crudos!H88</f>
        <v>0</v>
      </c>
      <c r="G88" s="1" t="n">
        <f aca="false">crudos!I88+crudos!J88</f>
        <v>0</v>
      </c>
      <c r="H88" s="2"/>
      <c r="I88" s="1"/>
      <c r="J88" s="1"/>
    </row>
    <row r="89" customFormat="false" ht="15" hidden="false" customHeight="false" outlineLevel="0" collapsed="false">
      <c r="A89" s="4" t="n">
        <v>39357</v>
      </c>
      <c r="B89" s="0" t="s">
        <v>19</v>
      </c>
      <c r="C89" s="1" t="n">
        <v>5</v>
      </c>
      <c r="D89" s="0" t="s">
        <v>15</v>
      </c>
      <c r="E89" s="1" t="n">
        <f aca="false">crudos!E89+crudos!F89</f>
        <v>0</v>
      </c>
      <c r="F89" s="1" t="n">
        <f aca="false">crudos!G89+crudos!H89</f>
        <v>0</v>
      </c>
      <c r="G89" s="1" t="n">
        <f aca="false">crudos!I89+crudos!J89</f>
        <v>0</v>
      </c>
      <c r="H89" s="2"/>
      <c r="I89" s="1"/>
      <c r="J89" s="1"/>
    </row>
    <row r="90" customFormat="false" ht="15" hidden="false" customHeight="false" outlineLevel="0" collapsed="false">
      <c r="A90" s="4" t="n">
        <v>39357</v>
      </c>
      <c r="B90" s="0" t="s">
        <v>19</v>
      </c>
      <c r="C90" s="1" t="n">
        <v>5</v>
      </c>
      <c r="D90" s="0" t="s">
        <v>16</v>
      </c>
      <c r="E90" s="1" t="n">
        <f aca="false">crudos!E90+crudos!F90</f>
        <v>0</v>
      </c>
      <c r="F90" s="1" t="n">
        <f aca="false">crudos!G90+crudos!H90</f>
        <v>0</v>
      </c>
      <c r="G90" s="1" t="n">
        <f aca="false">crudos!I90+crudos!J90</f>
        <v>0</v>
      </c>
      <c r="H90" s="2"/>
      <c r="I90" s="1"/>
      <c r="J90" s="1"/>
    </row>
    <row r="91" customFormat="false" ht="15" hidden="false" customHeight="false" outlineLevel="0" collapsed="false">
      <c r="A91" s="4" t="n">
        <v>39357</v>
      </c>
      <c r="B91" s="0" t="s">
        <v>19</v>
      </c>
      <c r="C91" s="1" t="n">
        <v>5</v>
      </c>
      <c r="D91" s="0" t="s">
        <v>17</v>
      </c>
      <c r="E91" s="1" t="n">
        <f aca="false">crudos!E91+crudos!F91</f>
        <v>0</v>
      </c>
      <c r="F91" s="1" t="n">
        <f aca="false">crudos!G91+crudos!H91</f>
        <v>0</v>
      </c>
      <c r="G91" s="1" t="n">
        <f aca="false">crudos!I91+crudos!J91</f>
        <v>0</v>
      </c>
      <c r="H91" s="2"/>
      <c r="I91" s="1"/>
      <c r="J91" s="1"/>
    </row>
    <row r="92" customFormat="false" ht="15" hidden="false" customHeight="false" outlineLevel="0" collapsed="false">
      <c r="A92" s="4" t="n">
        <v>39357</v>
      </c>
      <c r="B92" s="0" t="s">
        <v>19</v>
      </c>
      <c r="C92" s="1" t="n">
        <v>5</v>
      </c>
      <c r="D92" s="0" t="s">
        <v>18</v>
      </c>
      <c r="E92" s="1" t="n">
        <f aca="false">crudos!E92+crudos!F92</f>
        <v>0</v>
      </c>
      <c r="F92" s="1" t="n">
        <f aca="false">crudos!G92+crudos!H92</f>
        <v>0</v>
      </c>
      <c r="G92" s="1" t="n">
        <f aca="false">crudos!I92+crudos!J92</f>
        <v>0</v>
      </c>
      <c r="H92" s="2"/>
      <c r="I92" s="1"/>
      <c r="J92" s="1"/>
    </row>
    <row r="93" customFormat="false" ht="15" hidden="false" customHeight="false" outlineLevel="0" collapsed="false">
      <c r="A93" s="4" t="n">
        <v>39357</v>
      </c>
      <c r="B93" s="0" t="s">
        <v>19</v>
      </c>
      <c r="C93" s="1" t="n">
        <v>6</v>
      </c>
      <c r="D93" s="0" t="s">
        <v>13</v>
      </c>
      <c r="E93" s="1" t="n">
        <f aca="false">crudos!E93+crudos!F93</f>
        <v>2</v>
      </c>
      <c r="F93" s="1" t="n">
        <f aca="false">crudos!G93+crudos!H93</f>
        <v>0</v>
      </c>
      <c r="G93" s="1" t="n">
        <f aca="false">crudos!I93+crudos!J93</f>
        <v>0</v>
      </c>
      <c r="H93" s="2" t="n">
        <v>0</v>
      </c>
      <c r="I93" s="1"/>
      <c r="J93" s="1"/>
    </row>
    <row r="94" customFormat="false" ht="15" hidden="false" customHeight="false" outlineLevel="0" collapsed="false">
      <c r="A94" s="4" t="n">
        <v>39357</v>
      </c>
      <c r="B94" s="0" t="s">
        <v>19</v>
      </c>
      <c r="C94" s="1" t="n">
        <v>6</v>
      </c>
      <c r="D94" s="0" t="s">
        <v>14</v>
      </c>
      <c r="E94" s="1" t="n">
        <f aca="false">crudos!E94+crudos!F94</f>
        <v>0</v>
      </c>
      <c r="F94" s="1" t="n">
        <f aca="false">crudos!G94+crudos!H94</f>
        <v>0</v>
      </c>
      <c r="G94" s="1" t="n">
        <f aca="false">crudos!I94+crudos!J94</f>
        <v>0</v>
      </c>
      <c r="H94" s="2"/>
      <c r="I94" s="1"/>
      <c r="J94" s="1"/>
    </row>
    <row r="95" customFormat="false" ht="15" hidden="false" customHeight="false" outlineLevel="0" collapsed="false">
      <c r="A95" s="4" t="n">
        <v>39357</v>
      </c>
      <c r="B95" s="0" t="s">
        <v>19</v>
      </c>
      <c r="C95" s="1" t="n">
        <v>6</v>
      </c>
      <c r="D95" s="0" t="s">
        <v>15</v>
      </c>
      <c r="E95" s="1" t="n">
        <f aca="false">crudos!E95+crudos!F95</f>
        <v>4</v>
      </c>
      <c r="F95" s="1" t="n">
        <f aca="false">crudos!G95+crudos!H95</f>
        <v>0</v>
      </c>
      <c r="G95" s="1" t="n">
        <f aca="false">crudos!I95+crudos!J95</f>
        <v>0</v>
      </c>
      <c r="H95" s="2"/>
      <c r="I95" s="1"/>
      <c r="J95" s="1"/>
    </row>
    <row r="96" customFormat="false" ht="15" hidden="false" customHeight="false" outlineLevel="0" collapsed="false">
      <c r="A96" s="4" t="n">
        <v>39357</v>
      </c>
      <c r="B96" s="0" t="s">
        <v>19</v>
      </c>
      <c r="C96" s="1" t="n">
        <v>6</v>
      </c>
      <c r="D96" s="0" t="s">
        <v>16</v>
      </c>
      <c r="E96" s="1" t="n">
        <f aca="false">crudos!E96+crudos!F96</f>
        <v>1</v>
      </c>
      <c r="F96" s="1" t="n">
        <f aca="false">crudos!G96+crudos!H96</f>
        <v>0</v>
      </c>
      <c r="G96" s="1" t="n">
        <f aca="false">crudos!I96+crudos!J96</f>
        <v>0</v>
      </c>
      <c r="H96" s="2"/>
      <c r="I96" s="1"/>
      <c r="J96" s="1"/>
    </row>
    <row r="97" customFormat="false" ht="15" hidden="false" customHeight="false" outlineLevel="0" collapsed="false">
      <c r="A97" s="4" t="n">
        <v>39357</v>
      </c>
      <c r="B97" s="0" t="s">
        <v>19</v>
      </c>
      <c r="C97" s="1" t="n">
        <v>6</v>
      </c>
      <c r="D97" s="0" t="s">
        <v>17</v>
      </c>
      <c r="E97" s="1" t="n">
        <f aca="false">crudos!E97+crudos!F97</f>
        <v>0</v>
      </c>
      <c r="F97" s="1" t="n">
        <f aca="false">crudos!G97+crudos!H97</f>
        <v>6</v>
      </c>
      <c r="G97" s="1" t="n">
        <f aca="false">crudos!I97+crudos!J97</f>
        <v>0</v>
      </c>
      <c r="H97" s="2"/>
      <c r="I97" s="1"/>
      <c r="J97" s="1"/>
    </row>
    <row r="98" customFormat="false" ht="15" hidden="false" customHeight="false" outlineLevel="0" collapsed="false">
      <c r="A98" s="4" t="n">
        <v>39357</v>
      </c>
      <c r="B98" s="0" t="s">
        <v>19</v>
      </c>
      <c r="C98" s="1" t="n">
        <v>6</v>
      </c>
      <c r="D98" s="0" t="s">
        <v>18</v>
      </c>
      <c r="E98" s="1" t="n">
        <f aca="false">crudos!E98+crudos!F98</f>
        <v>0</v>
      </c>
      <c r="F98" s="1" t="n">
        <f aca="false">crudos!G98+crudos!H98</f>
        <v>0</v>
      </c>
      <c r="G98" s="1" t="n">
        <f aca="false">crudos!I98+crudos!J98</f>
        <v>0</v>
      </c>
      <c r="H98" s="2"/>
      <c r="I98" s="1"/>
      <c r="J98" s="1"/>
    </row>
    <row r="99" customFormat="false" ht="15" hidden="false" customHeight="false" outlineLevel="0" collapsed="false">
      <c r="A99" s="4" t="n">
        <v>39357</v>
      </c>
      <c r="B99" s="0" t="s">
        <v>19</v>
      </c>
      <c r="C99" s="1" t="n">
        <v>7</v>
      </c>
      <c r="D99" s="0" t="s">
        <v>13</v>
      </c>
      <c r="E99" s="1" t="n">
        <f aca="false">crudos!E99+crudos!F99</f>
        <v>1</v>
      </c>
      <c r="F99" s="1" t="n">
        <f aca="false">crudos!G99+crudos!H99</f>
        <v>0</v>
      </c>
      <c r="G99" s="1" t="n">
        <f aca="false">crudos!I99+crudos!J99</f>
        <v>0</v>
      </c>
      <c r="H99" s="2" t="n">
        <v>2</v>
      </c>
      <c r="I99" s="1"/>
      <c r="J99" s="1"/>
    </row>
    <row r="100" customFormat="false" ht="15" hidden="false" customHeight="false" outlineLevel="0" collapsed="false">
      <c r="A100" s="4" t="n">
        <v>39357</v>
      </c>
      <c r="B100" s="0" t="s">
        <v>19</v>
      </c>
      <c r="C100" s="1" t="n">
        <v>7</v>
      </c>
      <c r="D100" s="0" t="s">
        <v>14</v>
      </c>
      <c r="E100" s="1" t="n">
        <f aca="false">crudos!E100+crudos!F100</f>
        <v>0</v>
      </c>
      <c r="F100" s="1" t="n">
        <f aca="false">crudos!G100+crudos!H100</f>
        <v>0</v>
      </c>
      <c r="G100" s="1" t="n">
        <f aca="false">crudos!I100+crudos!J100</f>
        <v>0</v>
      </c>
      <c r="H100" s="2"/>
      <c r="I100" s="1"/>
      <c r="J100" s="1"/>
    </row>
    <row r="101" customFormat="false" ht="15" hidden="false" customHeight="false" outlineLevel="0" collapsed="false">
      <c r="A101" s="4" t="n">
        <v>39357</v>
      </c>
      <c r="B101" s="0" t="s">
        <v>19</v>
      </c>
      <c r="C101" s="1" t="n">
        <v>7</v>
      </c>
      <c r="D101" s="0" t="s">
        <v>15</v>
      </c>
      <c r="E101" s="1" t="n">
        <f aca="false">crudos!E101+crudos!F101</f>
        <v>0</v>
      </c>
      <c r="F101" s="1" t="n">
        <f aca="false">crudos!G101+crudos!H101</f>
        <v>0</v>
      </c>
      <c r="G101" s="1" t="n">
        <f aca="false">crudos!I101+crudos!J101</f>
        <v>0</v>
      </c>
      <c r="H101" s="2"/>
      <c r="I101" s="1"/>
      <c r="J101" s="1"/>
    </row>
    <row r="102" customFormat="false" ht="15" hidden="false" customHeight="false" outlineLevel="0" collapsed="false">
      <c r="A102" s="4" t="n">
        <v>39357</v>
      </c>
      <c r="B102" s="0" t="s">
        <v>19</v>
      </c>
      <c r="C102" s="1" t="n">
        <v>7</v>
      </c>
      <c r="D102" s="0" t="s">
        <v>16</v>
      </c>
      <c r="E102" s="1" t="n">
        <f aca="false">crudos!E102+crudos!F102</f>
        <v>2</v>
      </c>
      <c r="F102" s="1" t="n">
        <f aca="false">crudos!G102+crudos!H102</f>
        <v>0</v>
      </c>
      <c r="G102" s="1" t="n">
        <f aca="false">crudos!I102+crudos!J102</f>
        <v>0</v>
      </c>
      <c r="H102" s="2"/>
      <c r="I102" s="1"/>
      <c r="J102" s="1"/>
    </row>
    <row r="103" customFormat="false" ht="15" hidden="false" customHeight="false" outlineLevel="0" collapsed="false">
      <c r="A103" s="4" t="n">
        <v>39357</v>
      </c>
      <c r="B103" s="0" t="s">
        <v>19</v>
      </c>
      <c r="C103" s="1" t="n">
        <v>7</v>
      </c>
      <c r="D103" s="0" t="s">
        <v>17</v>
      </c>
      <c r="E103" s="1" t="n">
        <f aca="false">crudos!E103+crudos!F103</f>
        <v>0</v>
      </c>
      <c r="F103" s="1" t="n">
        <f aca="false">crudos!G103+crudos!H103</f>
        <v>2</v>
      </c>
      <c r="G103" s="1" t="n">
        <f aca="false">crudos!I103+crudos!J103</f>
        <v>0</v>
      </c>
      <c r="H103" s="2"/>
      <c r="I103" s="1"/>
      <c r="J103" s="1"/>
    </row>
    <row r="104" customFormat="false" ht="15" hidden="false" customHeight="false" outlineLevel="0" collapsed="false">
      <c r="A104" s="4" t="n">
        <v>39357</v>
      </c>
      <c r="B104" s="0" t="s">
        <v>19</v>
      </c>
      <c r="C104" s="1" t="n">
        <v>7</v>
      </c>
      <c r="D104" s="0" t="s">
        <v>18</v>
      </c>
      <c r="E104" s="1" t="n">
        <f aca="false">crudos!E104+crudos!F104</f>
        <v>0</v>
      </c>
      <c r="F104" s="1" t="n">
        <f aca="false">crudos!G104+crudos!H104</f>
        <v>0</v>
      </c>
      <c r="G104" s="1" t="n">
        <f aca="false">crudos!I104+crudos!J104</f>
        <v>0</v>
      </c>
      <c r="H104" s="2"/>
      <c r="I104" s="1"/>
      <c r="J104" s="1"/>
    </row>
    <row r="105" customFormat="false" ht="15" hidden="false" customHeight="false" outlineLevel="0" collapsed="false">
      <c r="A105" s="4" t="n">
        <v>39357</v>
      </c>
      <c r="B105" s="0" t="s">
        <v>19</v>
      </c>
      <c r="C105" s="1" t="n">
        <v>8</v>
      </c>
      <c r="D105" s="0" t="s">
        <v>13</v>
      </c>
      <c r="E105" s="1" t="n">
        <f aca="false">crudos!E105+crudos!F105</f>
        <v>0</v>
      </c>
      <c r="F105" s="1" t="n">
        <f aca="false">crudos!G105+crudos!H105</f>
        <v>0</v>
      </c>
      <c r="G105" s="1" t="n">
        <f aca="false">crudos!I105+crudos!J105</f>
        <v>0</v>
      </c>
      <c r="H105" s="2" t="n">
        <v>2</v>
      </c>
      <c r="I105" s="1"/>
      <c r="J105" s="1"/>
    </row>
    <row r="106" customFormat="false" ht="15" hidden="false" customHeight="false" outlineLevel="0" collapsed="false">
      <c r="A106" s="4" t="n">
        <v>39357</v>
      </c>
      <c r="B106" s="0" t="s">
        <v>19</v>
      </c>
      <c r="C106" s="1" t="n">
        <v>8</v>
      </c>
      <c r="D106" s="0" t="s">
        <v>14</v>
      </c>
      <c r="E106" s="1" t="n">
        <f aca="false">crudos!E106+crudos!F106</f>
        <v>6</v>
      </c>
      <c r="F106" s="1" t="n">
        <f aca="false">crudos!G106+crudos!H106</f>
        <v>0</v>
      </c>
      <c r="G106" s="1" t="n">
        <f aca="false">crudos!I106+crudos!J106</f>
        <v>0</v>
      </c>
      <c r="H106" s="2"/>
      <c r="I106" s="1"/>
      <c r="J106" s="1"/>
    </row>
    <row r="107" customFormat="false" ht="15" hidden="false" customHeight="false" outlineLevel="0" collapsed="false">
      <c r="A107" s="4" t="n">
        <v>39357</v>
      </c>
      <c r="B107" s="0" t="s">
        <v>19</v>
      </c>
      <c r="C107" s="1" t="n">
        <v>8</v>
      </c>
      <c r="D107" s="0" t="s">
        <v>15</v>
      </c>
      <c r="E107" s="1" t="n">
        <f aca="false">crudos!E107+crudos!F107</f>
        <v>0</v>
      </c>
      <c r="F107" s="1" t="n">
        <f aca="false">crudos!G107+crudos!H107</f>
        <v>0</v>
      </c>
      <c r="G107" s="1" t="n">
        <f aca="false">crudos!I107+crudos!J107</f>
        <v>0</v>
      </c>
      <c r="H107" s="2"/>
      <c r="I107" s="1"/>
      <c r="J107" s="1"/>
    </row>
    <row r="108" customFormat="false" ht="15" hidden="false" customHeight="false" outlineLevel="0" collapsed="false">
      <c r="A108" s="4" t="n">
        <v>39357</v>
      </c>
      <c r="B108" s="0" t="s">
        <v>19</v>
      </c>
      <c r="C108" s="1" t="n">
        <v>8</v>
      </c>
      <c r="D108" s="0" t="s">
        <v>16</v>
      </c>
      <c r="E108" s="1" t="n">
        <f aca="false">crudos!E108+crudos!F108</f>
        <v>1</v>
      </c>
      <c r="F108" s="1" t="n">
        <f aca="false">crudos!G108+crudos!H108</f>
        <v>1</v>
      </c>
      <c r="G108" s="1" t="n">
        <f aca="false">crudos!I108+crudos!J108</f>
        <v>0</v>
      </c>
      <c r="H108" s="2"/>
      <c r="I108" s="1"/>
      <c r="J108" s="1"/>
    </row>
    <row r="109" customFormat="false" ht="15" hidden="false" customHeight="false" outlineLevel="0" collapsed="false">
      <c r="A109" s="4" t="n">
        <v>39357</v>
      </c>
      <c r="B109" s="0" t="s">
        <v>19</v>
      </c>
      <c r="C109" s="1" t="n">
        <v>8</v>
      </c>
      <c r="D109" s="0" t="s">
        <v>17</v>
      </c>
      <c r="E109" s="1" t="n">
        <f aca="false">crudos!E109+crudos!F109</f>
        <v>2</v>
      </c>
      <c r="F109" s="1" t="n">
        <f aca="false">crudos!G109+crudos!H109</f>
        <v>5</v>
      </c>
      <c r="G109" s="1" t="n">
        <f aca="false">crudos!I109+crudos!J109</f>
        <v>0</v>
      </c>
      <c r="H109" s="2"/>
      <c r="I109" s="1"/>
      <c r="J109" s="1"/>
    </row>
    <row r="110" customFormat="false" ht="15" hidden="false" customHeight="false" outlineLevel="0" collapsed="false">
      <c r="A110" s="4" t="n">
        <v>39357</v>
      </c>
      <c r="B110" s="0" t="s">
        <v>19</v>
      </c>
      <c r="C110" s="1" t="n">
        <v>8</v>
      </c>
      <c r="D110" s="0" t="s">
        <v>18</v>
      </c>
      <c r="E110" s="1" t="n">
        <f aca="false">crudos!E110+crudos!F110</f>
        <v>0</v>
      </c>
      <c r="F110" s="1" t="n">
        <f aca="false">crudos!G110+crudos!H110</f>
        <v>0</v>
      </c>
      <c r="G110" s="1" t="n">
        <f aca="false">crudos!I110+crudos!J110</f>
        <v>0</v>
      </c>
      <c r="H110" s="2"/>
      <c r="I110" s="1"/>
      <c r="J110" s="1"/>
    </row>
    <row r="111" customFormat="false" ht="15" hidden="false" customHeight="false" outlineLevel="0" collapsed="false">
      <c r="A111" s="4" t="n">
        <v>39359</v>
      </c>
      <c r="B111" s="0" t="s">
        <v>19</v>
      </c>
      <c r="C111" s="1" t="n">
        <v>9</v>
      </c>
      <c r="D111" s="0" t="s">
        <v>13</v>
      </c>
      <c r="E111" s="1" t="n">
        <f aca="false">crudos!E111+crudos!F111</f>
        <v>0</v>
      </c>
      <c r="F111" s="1" t="n">
        <f aca="false">crudos!G111+crudos!H111</f>
        <v>0</v>
      </c>
      <c r="G111" s="1" t="n">
        <f aca="false">crudos!I111+crudos!J111</f>
        <v>0</v>
      </c>
      <c r="H111" s="2" t="n">
        <v>1</v>
      </c>
      <c r="I111" s="1"/>
      <c r="J111" s="1"/>
    </row>
    <row r="112" customFormat="false" ht="15" hidden="false" customHeight="false" outlineLevel="0" collapsed="false">
      <c r="A112" s="4" t="n">
        <v>39359</v>
      </c>
      <c r="B112" s="0" t="s">
        <v>19</v>
      </c>
      <c r="C112" s="1" t="n">
        <v>9</v>
      </c>
      <c r="D112" s="0" t="s">
        <v>14</v>
      </c>
      <c r="E112" s="1" t="n">
        <f aca="false">crudos!E112+crudos!F112</f>
        <v>0</v>
      </c>
      <c r="F112" s="1" t="n">
        <f aca="false">crudos!G112+crudos!H112</f>
        <v>0</v>
      </c>
      <c r="G112" s="1" t="n">
        <f aca="false">crudos!I112+crudos!J112</f>
        <v>0</v>
      </c>
      <c r="H112" s="2"/>
      <c r="I112" s="1"/>
      <c r="J112" s="1"/>
    </row>
    <row r="113" customFormat="false" ht="15" hidden="false" customHeight="false" outlineLevel="0" collapsed="false">
      <c r="A113" s="4" t="n">
        <v>39359</v>
      </c>
      <c r="B113" s="0" t="s">
        <v>19</v>
      </c>
      <c r="C113" s="1" t="n">
        <v>9</v>
      </c>
      <c r="D113" s="0" t="s">
        <v>15</v>
      </c>
      <c r="E113" s="1" t="n">
        <f aca="false">crudos!E113+crudos!F113</f>
        <v>0</v>
      </c>
      <c r="F113" s="1" t="n">
        <f aca="false">crudos!G113+crudos!H113</f>
        <v>0</v>
      </c>
      <c r="G113" s="1" t="n">
        <f aca="false">crudos!I113+crudos!J113</f>
        <v>0</v>
      </c>
      <c r="H113" s="2"/>
      <c r="I113" s="1"/>
      <c r="J113" s="1"/>
    </row>
    <row r="114" customFormat="false" ht="15" hidden="false" customHeight="false" outlineLevel="0" collapsed="false">
      <c r="A114" s="4" t="n">
        <v>39359</v>
      </c>
      <c r="B114" s="0" t="s">
        <v>19</v>
      </c>
      <c r="C114" s="1" t="n">
        <v>9</v>
      </c>
      <c r="D114" s="0" t="s">
        <v>16</v>
      </c>
      <c r="E114" s="1" t="n">
        <f aca="false">crudos!E114+crudos!F114</f>
        <v>0</v>
      </c>
      <c r="F114" s="1" t="n">
        <f aca="false">crudos!G114+crudos!H114</f>
        <v>0</v>
      </c>
      <c r="G114" s="1" t="n">
        <f aca="false">crudos!I114+crudos!J114</f>
        <v>0</v>
      </c>
      <c r="H114" s="2"/>
      <c r="I114" s="1"/>
      <c r="J114" s="1"/>
    </row>
    <row r="115" customFormat="false" ht="15" hidden="false" customHeight="false" outlineLevel="0" collapsed="false">
      <c r="A115" s="4" t="n">
        <v>39359</v>
      </c>
      <c r="B115" s="0" t="s">
        <v>19</v>
      </c>
      <c r="C115" s="1" t="n">
        <v>9</v>
      </c>
      <c r="D115" s="0" t="s">
        <v>17</v>
      </c>
      <c r="E115" s="1" t="n">
        <f aca="false">crudos!E115+crudos!F115</f>
        <v>0</v>
      </c>
      <c r="F115" s="1" t="n">
        <f aca="false">crudos!G115+crudos!H115</f>
        <v>0</v>
      </c>
      <c r="G115" s="1" t="n">
        <f aca="false">crudos!I115+crudos!J115</f>
        <v>0</v>
      </c>
      <c r="H115" s="2"/>
      <c r="I115" s="1"/>
      <c r="J115" s="1"/>
    </row>
    <row r="116" customFormat="false" ht="15" hidden="false" customHeight="false" outlineLevel="0" collapsed="false">
      <c r="A116" s="4" t="n">
        <v>39359</v>
      </c>
      <c r="B116" s="0" t="s">
        <v>19</v>
      </c>
      <c r="C116" s="1" t="n">
        <v>9</v>
      </c>
      <c r="D116" s="0" t="s">
        <v>18</v>
      </c>
      <c r="E116" s="1" t="n">
        <f aca="false">crudos!E116+crudos!F116</f>
        <v>0</v>
      </c>
      <c r="F116" s="1" t="n">
        <f aca="false">crudos!G116+crudos!H116</f>
        <v>0</v>
      </c>
      <c r="G116" s="1" t="n">
        <f aca="false">crudos!I116+crudos!J116</f>
        <v>0</v>
      </c>
      <c r="H116" s="2"/>
      <c r="I116" s="1"/>
      <c r="J116" s="1"/>
    </row>
    <row r="117" customFormat="false" ht="15" hidden="false" customHeight="false" outlineLevel="0" collapsed="false">
      <c r="A117" s="4" t="n">
        <v>39360</v>
      </c>
      <c r="B117" s="0" t="s">
        <v>19</v>
      </c>
      <c r="C117" s="1" t="n">
        <v>10</v>
      </c>
      <c r="D117" s="0" t="s">
        <v>13</v>
      </c>
      <c r="E117" s="1" t="n">
        <f aca="false">crudos!E117+crudos!F117</f>
        <v>1</v>
      </c>
      <c r="F117" s="1" t="n">
        <f aca="false">crudos!G117+crudos!H117</f>
        <v>0</v>
      </c>
      <c r="G117" s="1" t="n">
        <f aca="false">crudos!I117+crudos!J117</f>
        <v>0</v>
      </c>
      <c r="H117" s="2" t="n">
        <v>0</v>
      </c>
      <c r="I117" s="1"/>
      <c r="J117" s="1"/>
    </row>
    <row r="118" customFormat="false" ht="15" hidden="false" customHeight="false" outlineLevel="0" collapsed="false">
      <c r="A118" s="4" t="n">
        <v>39360</v>
      </c>
      <c r="B118" s="0" t="s">
        <v>19</v>
      </c>
      <c r="C118" s="1" t="n">
        <v>10</v>
      </c>
      <c r="D118" s="0" t="s">
        <v>14</v>
      </c>
      <c r="E118" s="1" t="n">
        <f aca="false">crudos!E118+crudos!F118</f>
        <v>1</v>
      </c>
      <c r="F118" s="1" t="n">
        <f aca="false">crudos!G118+crudos!H118</f>
        <v>0</v>
      </c>
      <c r="G118" s="1" t="n">
        <f aca="false">crudos!I118+crudos!J118</f>
        <v>0</v>
      </c>
      <c r="H118" s="2"/>
      <c r="I118" s="1"/>
      <c r="J118" s="1"/>
    </row>
    <row r="119" customFormat="false" ht="15" hidden="false" customHeight="false" outlineLevel="0" collapsed="false">
      <c r="A119" s="4" t="n">
        <v>39360</v>
      </c>
      <c r="B119" s="0" t="s">
        <v>19</v>
      </c>
      <c r="C119" s="1" t="n">
        <v>10</v>
      </c>
      <c r="D119" s="0" t="s">
        <v>15</v>
      </c>
      <c r="E119" s="1" t="n">
        <f aca="false">crudos!E119+crudos!F119</f>
        <v>1</v>
      </c>
      <c r="F119" s="1" t="n">
        <f aca="false">crudos!G119+crudos!H119</f>
        <v>0</v>
      </c>
      <c r="G119" s="1" t="n">
        <f aca="false">crudos!I119+crudos!J119</f>
        <v>0</v>
      </c>
      <c r="H119" s="2"/>
      <c r="I119" s="1"/>
      <c r="J119" s="1"/>
    </row>
    <row r="120" customFormat="false" ht="15" hidden="false" customHeight="false" outlineLevel="0" collapsed="false">
      <c r="A120" s="4" t="n">
        <v>39360</v>
      </c>
      <c r="B120" s="0" t="s">
        <v>19</v>
      </c>
      <c r="C120" s="1" t="n">
        <v>10</v>
      </c>
      <c r="D120" s="0" t="s">
        <v>16</v>
      </c>
      <c r="E120" s="1" t="n">
        <f aca="false">crudos!E120+crudos!F120</f>
        <v>2</v>
      </c>
      <c r="F120" s="1" t="n">
        <f aca="false">crudos!G120+crudos!H120</f>
        <v>0</v>
      </c>
      <c r="G120" s="1" t="n">
        <f aca="false">crudos!I120+crudos!J120</f>
        <v>0</v>
      </c>
      <c r="H120" s="2"/>
      <c r="I120" s="1"/>
      <c r="J120" s="1"/>
    </row>
    <row r="121" customFormat="false" ht="15" hidden="false" customHeight="false" outlineLevel="0" collapsed="false">
      <c r="A121" s="4" t="n">
        <v>39360</v>
      </c>
      <c r="B121" s="0" t="s">
        <v>19</v>
      </c>
      <c r="C121" s="1" t="n">
        <v>10</v>
      </c>
      <c r="D121" s="0" t="s">
        <v>17</v>
      </c>
      <c r="E121" s="1" t="n">
        <f aca="false">crudos!E121+crudos!F121</f>
        <v>0</v>
      </c>
      <c r="F121" s="1" t="n">
        <f aca="false">crudos!G121+crudos!H121</f>
        <v>1</v>
      </c>
      <c r="G121" s="1" t="n">
        <f aca="false">crudos!I121+crudos!J121</f>
        <v>0</v>
      </c>
      <c r="H121" s="2"/>
      <c r="I121" s="1"/>
      <c r="J121" s="1"/>
    </row>
    <row r="122" customFormat="false" ht="15" hidden="false" customHeight="false" outlineLevel="0" collapsed="false">
      <c r="A122" s="4" t="n">
        <v>39360</v>
      </c>
      <c r="B122" s="0" t="s">
        <v>19</v>
      </c>
      <c r="C122" s="1" t="n">
        <v>10</v>
      </c>
      <c r="D122" s="0" t="s">
        <v>18</v>
      </c>
      <c r="E122" s="1" t="n">
        <f aca="false">crudos!E122+crudos!F122</f>
        <v>0</v>
      </c>
      <c r="F122" s="1" t="n">
        <f aca="false">crudos!G122+crudos!H122</f>
        <v>0</v>
      </c>
      <c r="G122" s="1" t="n">
        <f aca="false">crudos!I122+crudos!J122</f>
        <v>0</v>
      </c>
      <c r="H122" s="2"/>
      <c r="I122" s="1"/>
      <c r="J122" s="1"/>
    </row>
    <row r="123" customFormat="false" ht="15" hidden="false" customHeight="false" outlineLevel="0" collapsed="false">
      <c r="A123" s="4" t="n">
        <v>39319</v>
      </c>
      <c r="B123" s="0" t="s">
        <v>20</v>
      </c>
      <c r="C123" s="1" t="n">
        <v>1</v>
      </c>
      <c r="D123" s="0" t="s">
        <v>13</v>
      </c>
      <c r="E123" s="1" t="n">
        <f aca="false">crudos!E123+crudos!F123</f>
        <v>0</v>
      </c>
      <c r="F123" s="1" t="n">
        <f aca="false">crudos!G123+crudos!H123</f>
        <v>0</v>
      </c>
      <c r="G123" s="1" t="n">
        <f aca="false">crudos!I123+crudos!J123</f>
        <v>0</v>
      </c>
      <c r="H123" s="2" t="n">
        <v>2</v>
      </c>
      <c r="I123" s="1"/>
      <c r="J123" s="1"/>
    </row>
    <row r="124" customFormat="false" ht="15" hidden="false" customHeight="false" outlineLevel="0" collapsed="false">
      <c r="A124" s="4" t="n">
        <v>39319</v>
      </c>
      <c r="B124" s="0" t="s">
        <v>20</v>
      </c>
      <c r="C124" s="1" t="n">
        <v>1</v>
      </c>
      <c r="D124" s="0" t="s">
        <v>14</v>
      </c>
      <c r="E124" s="1" t="n">
        <f aca="false">crudos!E124+crudos!F124</f>
        <v>0</v>
      </c>
      <c r="F124" s="1" t="n">
        <f aca="false">crudos!G124+crudos!H124</f>
        <v>0</v>
      </c>
      <c r="G124" s="1" t="n">
        <f aca="false">crudos!I124+crudos!J124</f>
        <v>0</v>
      </c>
      <c r="H124" s="2"/>
      <c r="I124" s="1"/>
      <c r="J124" s="1"/>
    </row>
    <row r="125" customFormat="false" ht="15" hidden="false" customHeight="false" outlineLevel="0" collapsed="false">
      <c r="A125" s="4" t="n">
        <v>39319</v>
      </c>
      <c r="B125" s="0" t="s">
        <v>20</v>
      </c>
      <c r="C125" s="1" t="n">
        <v>1</v>
      </c>
      <c r="D125" s="0" t="s">
        <v>15</v>
      </c>
      <c r="E125" s="1" t="n">
        <f aca="false">crudos!E125+crudos!F125</f>
        <v>0</v>
      </c>
      <c r="F125" s="1" t="n">
        <f aca="false">crudos!G125+crudos!H125</f>
        <v>0</v>
      </c>
      <c r="G125" s="1" t="n">
        <f aca="false">crudos!I125+crudos!J125</f>
        <v>0</v>
      </c>
      <c r="H125" s="2"/>
      <c r="I125" s="1"/>
      <c r="J125" s="1"/>
    </row>
    <row r="126" customFormat="false" ht="15" hidden="false" customHeight="false" outlineLevel="0" collapsed="false">
      <c r="A126" s="4" t="n">
        <v>39319</v>
      </c>
      <c r="B126" s="0" t="s">
        <v>20</v>
      </c>
      <c r="C126" s="1" t="n">
        <v>1</v>
      </c>
      <c r="D126" s="0" t="s">
        <v>16</v>
      </c>
      <c r="E126" s="1" t="n">
        <f aca="false">crudos!E126+crudos!F126</f>
        <v>0</v>
      </c>
      <c r="F126" s="1" t="n">
        <f aca="false">crudos!G126+crudos!H126</f>
        <v>0</v>
      </c>
      <c r="G126" s="1" t="n">
        <f aca="false">crudos!I126+crudos!J126</f>
        <v>0</v>
      </c>
      <c r="H126" s="2"/>
      <c r="I126" s="1"/>
      <c r="J126" s="1"/>
    </row>
    <row r="127" customFormat="false" ht="15" hidden="false" customHeight="false" outlineLevel="0" collapsed="false">
      <c r="A127" s="4" t="n">
        <v>39319</v>
      </c>
      <c r="B127" s="0" t="s">
        <v>20</v>
      </c>
      <c r="C127" s="1" t="n">
        <v>1</v>
      </c>
      <c r="D127" s="0" t="s">
        <v>17</v>
      </c>
      <c r="E127" s="1" t="n">
        <f aca="false">crudos!E127+crudos!F127</f>
        <v>0</v>
      </c>
      <c r="F127" s="1" t="n">
        <f aca="false">crudos!G127+crudos!H127</f>
        <v>2</v>
      </c>
      <c r="G127" s="1" t="n">
        <f aca="false">crudos!I127+crudos!J127</f>
        <v>1</v>
      </c>
      <c r="H127" s="2"/>
      <c r="I127" s="1"/>
      <c r="J127" s="1"/>
    </row>
    <row r="128" customFormat="false" ht="15" hidden="false" customHeight="false" outlineLevel="0" collapsed="false">
      <c r="A128" s="4" t="n">
        <v>39319</v>
      </c>
      <c r="B128" s="0" t="s">
        <v>20</v>
      </c>
      <c r="C128" s="1" t="n">
        <v>1</v>
      </c>
      <c r="D128" s="0" t="s">
        <v>18</v>
      </c>
      <c r="E128" s="1" t="n">
        <f aca="false">crudos!E128+crudos!F128</f>
        <v>0</v>
      </c>
      <c r="F128" s="1" t="n">
        <f aca="false">crudos!G128+crudos!H128</f>
        <v>0</v>
      </c>
      <c r="G128" s="1" t="n">
        <f aca="false">crudos!I128+crudos!J128</f>
        <v>0</v>
      </c>
      <c r="H128" s="2"/>
      <c r="I128" s="1"/>
      <c r="J128" s="1"/>
    </row>
    <row r="129" customFormat="false" ht="15" hidden="false" customHeight="false" outlineLevel="0" collapsed="false">
      <c r="A129" s="4" t="n">
        <v>39319</v>
      </c>
      <c r="B129" s="0" t="s">
        <v>20</v>
      </c>
      <c r="C129" s="1" t="n">
        <v>2</v>
      </c>
      <c r="D129" s="0" t="s">
        <v>13</v>
      </c>
      <c r="E129" s="1" t="n">
        <f aca="false">crudos!E129+crudos!F129</f>
        <v>0</v>
      </c>
      <c r="F129" s="1" t="n">
        <f aca="false">crudos!G129+crudos!H129</f>
        <v>0</v>
      </c>
      <c r="G129" s="1" t="n">
        <f aca="false">crudos!I129+crudos!J129</f>
        <v>0</v>
      </c>
      <c r="H129" s="2" t="n">
        <v>2</v>
      </c>
      <c r="I129" s="1"/>
      <c r="J129" s="1"/>
    </row>
    <row r="130" customFormat="false" ht="15" hidden="false" customHeight="false" outlineLevel="0" collapsed="false">
      <c r="A130" s="4" t="n">
        <v>39319</v>
      </c>
      <c r="B130" s="0" t="s">
        <v>20</v>
      </c>
      <c r="C130" s="1" t="n">
        <v>2</v>
      </c>
      <c r="D130" s="0" t="s">
        <v>14</v>
      </c>
      <c r="E130" s="1" t="n">
        <f aca="false">crudos!E130+crudos!F130</f>
        <v>1</v>
      </c>
      <c r="F130" s="1" t="n">
        <f aca="false">crudos!G130+crudos!H130</f>
        <v>0</v>
      </c>
      <c r="G130" s="1" t="n">
        <f aca="false">crudos!I130+crudos!J130</f>
        <v>0</v>
      </c>
      <c r="H130" s="2"/>
      <c r="I130" s="1"/>
      <c r="J130" s="1"/>
    </row>
    <row r="131" customFormat="false" ht="15" hidden="false" customHeight="false" outlineLevel="0" collapsed="false">
      <c r="A131" s="4" t="n">
        <v>39319</v>
      </c>
      <c r="B131" s="0" t="s">
        <v>20</v>
      </c>
      <c r="C131" s="1" t="n">
        <v>2</v>
      </c>
      <c r="D131" s="0" t="s">
        <v>15</v>
      </c>
      <c r="E131" s="1" t="n">
        <f aca="false">crudos!E131+crudos!F131</f>
        <v>0</v>
      </c>
      <c r="F131" s="1" t="n">
        <f aca="false">crudos!G131+crudos!H131</f>
        <v>0</v>
      </c>
      <c r="G131" s="1" t="n">
        <f aca="false">crudos!I131+crudos!J131</f>
        <v>1</v>
      </c>
      <c r="H131" s="2"/>
      <c r="I131" s="1"/>
      <c r="J131" s="1"/>
    </row>
    <row r="132" customFormat="false" ht="15" hidden="false" customHeight="false" outlineLevel="0" collapsed="false">
      <c r="A132" s="4" t="n">
        <v>39319</v>
      </c>
      <c r="B132" s="0" t="s">
        <v>20</v>
      </c>
      <c r="C132" s="1" t="n">
        <v>2</v>
      </c>
      <c r="D132" s="0" t="s">
        <v>16</v>
      </c>
      <c r="E132" s="1" t="n">
        <f aca="false">crudos!E132+crudos!F132</f>
        <v>0</v>
      </c>
      <c r="F132" s="1" t="n">
        <f aca="false">crudos!G132+crudos!H132</f>
        <v>1</v>
      </c>
      <c r="G132" s="1" t="n">
        <f aca="false">crudos!I132+crudos!J132</f>
        <v>2</v>
      </c>
      <c r="H132" s="2"/>
      <c r="I132" s="1"/>
      <c r="J132" s="1"/>
    </row>
    <row r="133" customFormat="false" ht="15" hidden="false" customHeight="false" outlineLevel="0" collapsed="false">
      <c r="A133" s="4" t="n">
        <v>39319</v>
      </c>
      <c r="B133" s="0" t="s">
        <v>20</v>
      </c>
      <c r="C133" s="1" t="n">
        <v>2</v>
      </c>
      <c r="D133" s="0" t="s">
        <v>17</v>
      </c>
      <c r="E133" s="1" t="n">
        <f aca="false">crudos!E133+crudos!F133</f>
        <v>1</v>
      </c>
      <c r="F133" s="1" t="n">
        <f aca="false">crudos!G133+crudos!H133</f>
        <v>4</v>
      </c>
      <c r="G133" s="1" t="n">
        <f aca="false">crudos!I133+crudos!J133</f>
        <v>3</v>
      </c>
      <c r="H133" s="2"/>
      <c r="I133" s="1"/>
      <c r="J133" s="1"/>
    </row>
    <row r="134" customFormat="false" ht="15" hidden="false" customHeight="false" outlineLevel="0" collapsed="false">
      <c r="A134" s="4" t="n">
        <v>39319</v>
      </c>
      <c r="B134" s="0" t="s">
        <v>20</v>
      </c>
      <c r="C134" s="1" t="n">
        <v>2</v>
      </c>
      <c r="D134" s="0" t="s">
        <v>18</v>
      </c>
      <c r="E134" s="1" t="n">
        <f aca="false">crudos!E134+crudos!F134</f>
        <v>0</v>
      </c>
      <c r="F134" s="1" t="n">
        <f aca="false">crudos!G134+crudos!H134</f>
        <v>0</v>
      </c>
      <c r="G134" s="1" t="n">
        <f aca="false">crudos!I134+crudos!J134</f>
        <v>0</v>
      </c>
      <c r="H134" s="2"/>
      <c r="I134" s="1"/>
      <c r="J134" s="1"/>
    </row>
    <row r="135" customFormat="false" ht="15" hidden="false" customHeight="false" outlineLevel="0" collapsed="false">
      <c r="A135" s="4" t="n">
        <v>39319</v>
      </c>
      <c r="B135" s="0" t="s">
        <v>20</v>
      </c>
      <c r="C135" s="1" t="n">
        <v>3</v>
      </c>
      <c r="D135" s="0" t="s">
        <v>13</v>
      </c>
      <c r="E135" s="1" t="n">
        <f aca="false">crudos!E135+crudos!F135</f>
        <v>0</v>
      </c>
      <c r="F135" s="1" t="n">
        <f aca="false">crudos!G135+crudos!H135</f>
        <v>0</v>
      </c>
      <c r="G135" s="1" t="n">
        <f aca="false">crudos!I135+crudos!J135</f>
        <v>0</v>
      </c>
      <c r="H135" s="2" t="n">
        <v>7</v>
      </c>
      <c r="I135" s="1"/>
      <c r="J135" s="1"/>
    </row>
    <row r="136" customFormat="false" ht="15" hidden="false" customHeight="false" outlineLevel="0" collapsed="false">
      <c r="A136" s="4" t="n">
        <v>39319</v>
      </c>
      <c r="B136" s="0" t="s">
        <v>20</v>
      </c>
      <c r="C136" s="1" t="n">
        <v>3</v>
      </c>
      <c r="D136" s="0" t="s">
        <v>14</v>
      </c>
      <c r="E136" s="1" t="n">
        <f aca="false">crudos!E136+crudos!F136</f>
        <v>0</v>
      </c>
      <c r="F136" s="1" t="n">
        <f aca="false">crudos!G136+crudos!H136</f>
        <v>0</v>
      </c>
      <c r="G136" s="1" t="n">
        <f aca="false">crudos!I136+crudos!J136</f>
        <v>0</v>
      </c>
      <c r="H136" s="2"/>
      <c r="I136" s="1"/>
      <c r="J136" s="1"/>
    </row>
    <row r="137" customFormat="false" ht="15" hidden="false" customHeight="false" outlineLevel="0" collapsed="false">
      <c r="A137" s="4" t="n">
        <v>39319</v>
      </c>
      <c r="B137" s="0" t="s">
        <v>20</v>
      </c>
      <c r="C137" s="1" t="n">
        <v>3</v>
      </c>
      <c r="D137" s="0" t="s">
        <v>15</v>
      </c>
      <c r="E137" s="1" t="n">
        <f aca="false">crudos!E137+crudos!F137</f>
        <v>0</v>
      </c>
      <c r="F137" s="1" t="n">
        <f aca="false">crudos!G137+crudos!H137</f>
        <v>0</v>
      </c>
      <c r="G137" s="1" t="n">
        <f aca="false">crudos!I137+crudos!J137</f>
        <v>0</v>
      </c>
      <c r="H137" s="2"/>
      <c r="I137" s="1"/>
      <c r="J137" s="1"/>
    </row>
    <row r="138" customFormat="false" ht="15" hidden="false" customHeight="false" outlineLevel="0" collapsed="false">
      <c r="A138" s="4" t="n">
        <v>39319</v>
      </c>
      <c r="B138" s="0" t="s">
        <v>20</v>
      </c>
      <c r="C138" s="1" t="n">
        <v>3</v>
      </c>
      <c r="D138" s="0" t="s">
        <v>16</v>
      </c>
      <c r="E138" s="1" t="n">
        <f aca="false">crudos!E138+crudos!F138</f>
        <v>0</v>
      </c>
      <c r="F138" s="1" t="n">
        <f aca="false">crudos!G138+crudos!H138</f>
        <v>0</v>
      </c>
      <c r="G138" s="1" t="n">
        <f aca="false">crudos!I138+crudos!J138</f>
        <v>0</v>
      </c>
      <c r="H138" s="2"/>
      <c r="I138" s="1"/>
      <c r="J138" s="1"/>
    </row>
    <row r="139" customFormat="false" ht="15" hidden="false" customHeight="false" outlineLevel="0" collapsed="false">
      <c r="A139" s="4" t="n">
        <v>39319</v>
      </c>
      <c r="B139" s="0" t="s">
        <v>20</v>
      </c>
      <c r="C139" s="1" t="n">
        <v>3</v>
      </c>
      <c r="D139" s="0" t="s">
        <v>17</v>
      </c>
      <c r="E139" s="1" t="n">
        <f aca="false">crudos!E139+crudos!F139</f>
        <v>0</v>
      </c>
      <c r="F139" s="1" t="n">
        <f aca="false">crudos!G139+crudos!H139</f>
        <v>0</v>
      </c>
      <c r="G139" s="1" t="n">
        <f aca="false">crudos!I139+crudos!J139</f>
        <v>0</v>
      </c>
      <c r="H139" s="2"/>
      <c r="I139" s="1"/>
      <c r="J139" s="1"/>
    </row>
    <row r="140" customFormat="false" ht="15" hidden="false" customHeight="false" outlineLevel="0" collapsed="false">
      <c r="A140" s="4" t="n">
        <v>39319</v>
      </c>
      <c r="B140" s="0" t="s">
        <v>20</v>
      </c>
      <c r="C140" s="1" t="n">
        <v>3</v>
      </c>
      <c r="D140" s="0" t="s">
        <v>18</v>
      </c>
      <c r="E140" s="1" t="n">
        <f aca="false">crudos!E140+crudos!F140</f>
        <v>0</v>
      </c>
      <c r="F140" s="1" t="n">
        <f aca="false">crudos!G140+crudos!H140</f>
        <v>0</v>
      </c>
      <c r="G140" s="1" t="n">
        <f aca="false">crudos!I140+crudos!J140</f>
        <v>0</v>
      </c>
      <c r="H140" s="2"/>
      <c r="I140" s="1"/>
      <c r="J140" s="1"/>
    </row>
    <row r="141" customFormat="false" ht="15" hidden="false" customHeight="false" outlineLevel="0" collapsed="false">
      <c r="A141" s="4" t="n">
        <v>39319</v>
      </c>
      <c r="B141" s="0" t="s">
        <v>20</v>
      </c>
      <c r="C141" s="1" t="n">
        <v>4</v>
      </c>
      <c r="D141" s="0" t="s">
        <v>13</v>
      </c>
      <c r="E141" s="1" t="n">
        <f aca="false">crudos!E141+crudos!F141</f>
        <v>5</v>
      </c>
      <c r="F141" s="1" t="n">
        <f aca="false">crudos!G141+crudos!H141</f>
        <v>0</v>
      </c>
      <c r="G141" s="1" t="n">
        <f aca="false">crudos!I141+crudos!J141</f>
        <v>0</v>
      </c>
      <c r="H141" s="2" t="n">
        <v>0</v>
      </c>
      <c r="I141" s="1"/>
      <c r="J141" s="1"/>
    </row>
    <row r="142" customFormat="false" ht="15" hidden="false" customHeight="false" outlineLevel="0" collapsed="false">
      <c r="A142" s="4" t="n">
        <v>39319</v>
      </c>
      <c r="B142" s="0" t="s">
        <v>20</v>
      </c>
      <c r="C142" s="1" t="n">
        <v>4</v>
      </c>
      <c r="D142" s="0" t="s">
        <v>14</v>
      </c>
      <c r="E142" s="1" t="n">
        <f aca="false">crudos!E142+crudos!F142</f>
        <v>0</v>
      </c>
      <c r="F142" s="1" t="n">
        <f aca="false">crudos!G142+crudos!H142</f>
        <v>0</v>
      </c>
      <c r="G142" s="1" t="n">
        <f aca="false">crudos!I142+crudos!J142</f>
        <v>0</v>
      </c>
      <c r="H142" s="2"/>
      <c r="I142" s="1"/>
      <c r="J142" s="1"/>
    </row>
    <row r="143" customFormat="false" ht="15" hidden="false" customHeight="false" outlineLevel="0" collapsed="false">
      <c r="A143" s="4" t="n">
        <v>39319</v>
      </c>
      <c r="B143" s="0" t="s">
        <v>20</v>
      </c>
      <c r="C143" s="1" t="n">
        <v>4</v>
      </c>
      <c r="D143" s="0" t="s">
        <v>15</v>
      </c>
      <c r="E143" s="1" t="n">
        <f aca="false">crudos!E143+crudos!F143</f>
        <v>0</v>
      </c>
      <c r="F143" s="1" t="n">
        <f aca="false">crudos!G143+crudos!H143</f>
        <v>0</v>
      </c>
      <c r="G143" s="1" t="n">
        <f aca="false">crudos!I143+crudos!J143</f>
        <v>1</v>
      </c>
      <c r="H143" s="2"/>
      <c r="I143" s="1"/>
      <c r="J143" s="1"/>
    </row>
    <row r="144" customFormat="false" ht="15" hidden="false" customHeight="false" outlineLevel="0" collapsed="false">
      <c r="A144" s="4" t="n">
        <v>39319</v>
      </c>
      <c r="B144" s="0" t="s">
        <v>20</v>
      </c>
      <c r="C144" s="1" t="n">
        <v>4</v>
      </c>
      <c r="D144" s="0" t="s">
        <v>16</v>
      </c>
      <c r="E144" s="1" t="n">
        <f aca="false">crudos!E144+crudos!F144</f>
        <v>0</v>
      </c>
      <c r="F144" s="1" t="n">
        <f aca="false">crudos!G144+crudos!H144</f>
        <v>0</v>
      </c>
      <c r="G144" s="1" t="n">
        <f aca="false">crudos!I144+crudos!J144</f>
        <v>0</v>
      </c>
      <c r="H144" s="2"/>
      <c r="I144" s="1"/>
      <c r="J144" s="1"/>
    </row>
    <row r="145" customFormat="false" ht="15" hidden="false" customHeight="false" outlineLevel="0" collapsed="false">
      <c r="A145" s="4" t="n">
        <v>39319</v>
      </c>
      <c r="B145" s="0" t="s">
        <v>20</v>
      </c>
      <c r="C145" s="1" t="n">
        <v>4</v>
      </c>
      <c r="D145" s="0" t="s">
        <v>17</v>
      </c>
      <c r="E145" s="1" t="n">
        <f aca="false">crudos!E145+crudos!F145</f>
        <v>0</v>
      </c>
      <c r="F145" s="1" t="n">
        <f aca="false">crudos!G145+crudos!H145</f>
        <v>1</v>
      </c>
      <c r="G145" s="1" t="n">
        <f aca="false">crudos!I145+crudos!J145</f>
        <v>0</v>
      </c>
      <c r="H145" s="2"/>
      <c r="I145" s="1"/>
      <c r="J145" s="1"/>
    </row>
    <row r="146" customFormat="false" ht="15" hidden="false" customHeight="false" outlineLevel="0" collapsed="false">
      <c r="A146" s="4" t="n">
        <v>39319</v>
      </c>
      <c r="B146" s="0" t="s">
        <v>20</v>
      </c>
      <c r="C146" s="1" t="n">
        <v>4</v>
      </c>
      <c r="D146" s="0" t="s">
        <v>18</v>
      </c>
      <c r="E146" s="1" t="n">
        <f aca="false">crudos!E146+crudos!F146</f>
        <v>0</v>
      </c>
      <c r="F146" s="1" t="n">
        <f aca="false">crudos!G146+crudos!H146</f>
        <v>0</v>
      </c>
      <c r="G146" s="1" t="n">
        <f aca="false">crudos!I146+crudos!J146</f>
        <v>0</v>
      </c>
      <c r="H146" s="2"/>
      <c r="I146" s="1"/>
      <c r="J146" s="1"/>
    </row>
    <row r="147" customFormat="false" ht="15" hidden="false" customHeight="false" outlineLevel="0" collapsed="false">
      <c r="A147" s="4" t="n">
        <v>39320</v>
      </c>
      <c r="B147" s="0" t="s">
        <v>20</v>
      </c>
      <c r="C147" s="1" t="n">
        <v>5</v>
      </c>
      <c r="D147" s="0" t="s">
        <v>13</v>
      </c>
      <c r="E147" s="1" t="n">
        <f aca="false">crudos!E147+crudos!F147</f>
        <v>0</v>
      </c>
      <c r="F147" s="1" t="n">
        <f aca="false">crudos!G147+crudos!H147</f>
        <v>0</v>
      </c>
      <c r="G147" s="1" t="n">
        <f aca="false">crudos!I147+crudos!J147</f>
        <v>0</v>
      </c>
      <c r="H147" s="2" t="n">
        <v>0</v>
      </c>
      <c r="I147" s="1"/>
      <c r="J147" s="1"/>
    </row>
    <row r="148" customFormat="false" ht="15" hidden="false" customHeight="false" outlineLevel="0" collapsed="false">
      <c r="A148" s="4" t="n">
        <v>39320</v>
      </c>
      <c r="B148" s="0" t="s">
        <v>20</v>
      </c>
      <c r="C148" s="1" t="n">
        <v>5</v>
      </c>
      <c r="D148" s="0" t="s">
        <v>14</v>
      </c>
      <c r="E148" s="1" t="n">
        <f aca="false">crudos!E148+crudos!F148</f>
        <v>0</v>
      </c>
      <c r="F148" s="1" t="n">
        <f aca="false">crudos!G148+crudos!H148</f>
        <v>0</v>
      </c>
      <c r="G148" s="1" t="n">
        <f aca="false">crudos!I148+crudos!J148</f>
        <v>0</v>
      </c>
      <c r="H148" s="2"/>
      <c r="I148" s="1"/>
      <c r="J148" s="1"/>
    </row>
    <row r="149" customFormat="false" ht="15" hidden="false" customHeight="false" outlineLevel="0" collapsed="false">
      <c r="A149" s="4" t="n">
        <v>39320</v>
      </c>
      <c r="B149" s="0" t="s">
        <v>20</v>
      </c>
      <c r="C149" s="1" t="n">
        <v>5</v>
      </c>
      <c r="D149" s="0" t="s">
        <v>15</v>
      </c>
      <c r="E149" s="1" t="n">
        <f aca="false">crudos!E149+crudos!F149</f>
        <v>0</v>
      </c>
      <c r="F149" s="1" t="n">
        <f aca="false">crudos!G149+crudos!H149</f>
        <v>0</v>
      </c>
      <c r="G149" s="1" t="n">
        <f aca="false">crudos!I149+crudos!J149</f>
        <v>0</v>
      </c>
      <c r="H149" s="2"/>
      <c r="I149" s="1"/>
      <c r="J149" s="1"/>
    </row>
    <row r="150" customFormat="false" ht="15" hidden="false" customHeight="false" outlineLevel="0" collapsed="false">
      <c r="A150" s="4" t="n">
        <v>39320</v>
      </c>
      <c r="B150" s="0" t="s">
        <v>20</v>
      </c>
      <c r="C150" s="1" t="n">
        <v>5</v>
      </c>
      <c r="D150" s="0" t="s">
        <v>16</v>
      </c>
      <c r="E150" s="1" t="n">
        <f aca="false">crudos!E150+crudos!F150</f>
        <v>0</v>
      </c>
      <c r="F150" s="1" t="n">
        <f aca="false">crudos!G150+crudos!H150</f>
        <v>0</v>
      </c>
      <c r="G150" s="1" t="n">
        <f aca="false">crudos!I150+crudos!J150</f>
        <v>0</v>
      </c>
      <c r="H150" s="2"/>
      <c r="I150" s="1"/>
      <c r="J150" s="1"/>
    </row>
    <row r="151" customFormat="false" ht="15" hidden="false" customHeight="false" outlineLevel="0" collapsed="false">
      <c r="A151" s="4" t="n">
        <v>39320</v>
      </c>
      <c r="B151" s="0" t="s">
        <v>20</v>
      </c>
      <c r="C151" s="1" t="n">
        <v>5</v>
      </c>
      <c r="D151" s="0" t="s">
        <v>17</v>
      </c>
      <c r="E151" s="1" t="n">
        <f aca="false">crudos!E151+crudos!F151</f>
        <v>0</v>
      </c>
      <c r="F151" s="1" t="n">
        <f aca="false">crudos!G151+crudos!H151</f>
        <v>3</v>
      </c>
      <c r="G151" s="1" t="n">
        <f aca="false">crudos!I151+crudos!J151</f>
        <v>2</v>
      </c>
      <c r="H151" s="2"/>
      <c r="I151" s="1"/>
      <c r="J151" s="1"/>
    </row>
    <row r="152" customFormat="false" ht="15" hidden="false" customHeight="false" outlineLevel="0" collapsed="false">
      <c r="A152" s="4" t="n">
        <v>39320</v>
      </c>
      <c r="B152" s="0" t="s">
        <v>20</v>
      </c>
      <c r="C152" s="1" t="n">
        <v>5</v>
      </c>
      <c r="D152" s="0" t="s">
        <v>18</v>
      </c>
      <c r="E152" s="1" t="n">
        <f aca="false">crudos!E152+crudos!F152</f>
        <v>0</v>
      </c>
      <c r="F152" s="1" t="n">
        <f aca="false">crudos!G152+crudos!H152</f>
        <v>0</v>
      </c>
      <c r="G152" s="1" t="n">
        <f aca="false">crudos!I152+crudos!J152</f>
        <v>0</v>
      </c>
      <c r="H152" s="2"/>
      <c r="I152" s="1"/>
      <c r="J152" s="1"/>
    </row>
    <row r="153" customFormat="false" ht="15" hidden="false" customHeight="false" outlineLevel="0" collapsed="false">
      <c r="A153" s="4" t="n">
        <v>39320</v>
      </c>
      <c r="B153" s="0" t="s">
        <v>20</v>
      </c>
      <c r="C153" s="1" t="n">
        <v>6</v>
      </c>
      <c r="D153" s="0" t="s">
        <v>13</v>
      </c>
      <c r="E153" s="1" t="n">
        <f aca="false">crudos!E153+crudos!F153</f>
        <v>0</v>
      </c>
      <c r="F153" s="1" t="n">
        <f aca="false">crudos!G153+crudos!H153</f>
        <v>0</v>
      </c>
      <c r="G153" s="1" t="n">
        <f aca="false">crudos!I153+crudos!J153</f>
        <v>0</v>
      </c>
      <c r="H153" s="2" t="n">
        <v>4</v>
      </c>
      <c r="I153" s="1"/>
      <c r="J153" s="1"/>
    </row>
    <row r="154" customFormat="false" ht="15" hidden="false" customHeight="false" outlineLevel="0" collapsed="false">
      <c r="A154" s="4" t="n">
        <v>39320</v>
      </c>
      <c r="B154" s="0" t="s">
        <v>20</v>
      </c>
      <c r="C154" s="1" t="n">
        <v>6</v>
      </c>
      <c r="D154" s="0" t="s">
        <v>14</v>
      </c>
      <c r="E154" s="1" t="n">
        <f aca="false">crudos!E154+crudos!F154</f>
        <v>0</v>
      </c>
      <c r="F154" s="1" t="n">
        <f aca="false">crudos!G154+crudos!H154</f>
        <v>0</v>
      </c>
      <c r="G154" s="1" t="n">
        <f aca="false">crudos!I154+crudos!J154</f>
        <v>0</v>
      </c>
      <c r="H154" s="2"/>
      <c r="I154" s="1"/>
      <c r="J154" s="1"/>
    </row>
    <row r="155" customFormat="false" ht="15" hidden="false" customHeight="false" outlineLevel="0" collapsed="false">
      <c r="A155" s="4" t="n">
        <v>39320</v>
      </c>
      <c r="B155" s="0" t="s">
        <v>20</v>
      </c>
      <c r="C155" s="1" t="n">
        <v>6</v>
      </c>
      <c r="D155" s="0" t="s">
        <v>15</v>
      </c>
      <c r="E155" s="1" t="n">
        <f aca="false">crudos!E155+crudos!F155</f>
        <v>0</v>
      </c>
      <c r="F155" s="1" t="n">
        <f aca="false">crudos!G155+crudos!H155</f>
        <v>0</v>
      </c>
      <c r="G155" s="1" t="n">
        <f aca="false">crudos!I155+crudos!J155</f>
        <v>0</v>
      </c>
      <c r="H155" s="2"/>
      <c r="I155" s="1"/>
      <c r="J155" s="1"/>
    </row>
    <row r="156" customFormat="false" ht="15" hidden="false" customHeight="false" outlineLevel="0" collapsed="false">
      <c r="A156" s="4" t="n">
        <v>39320</v>
      </c>
      <c r="B156" s="0" t="s">
        <v>20</v>
      </c>
      <c r="C156" s="1" t="n">
        <v>6</v>
      </c>
      <c r="D156" s="0" t="s">
        <v>16</v>
      </c>
      <c r="E156" s="1" t="n">
        <f aca="false">crudos!E156+crudos!F156</f>
        <v>0</v>
      </c>
      <c r="F156" s="1" t="n">
        <f aca="false">crudos!G156+crudos!H156</f>
        <v>1</v>
      </c>
      <c r="G156" s="1" t="n">
        <f aca="false">crudos!I156+crudos!J156</f>
        <v>0</v>
      </c>
      <c r="H156" s="2"/>
      <c r="I156" s="1"/>
      <c r="J156" s="1"/>
    </row>
    <row r="157" customFormat="false" ht="15" hidden="false" customHeight="false" outlineLevel="0" collapsed="false">
      <c r="A157" s="4" t="n">
        <v>39320</v>
      </c>
      <c r="B157" s="0" t="s">
        <v>20</v>
      </c>
      <c r="C157" s="1" t="n">
        <v>6</v>
      </c>
      <c r="D157" s="0" t="s">
        <v>17</v>
      </c>
      <c r="E157" s="1" t="n">
        <f aca="false">crudos!E157+crudos!F157</f>
        <v>0</v>
      </c>
      <c r="F157" s="1" t="n">
        <f aca="false">crudos!G157+crudos!H157</f>
        <v>0</v>
      </c>
      <c r="G157" s="1" t="n">
        <f aca="false">crudos!I157+crudos!J157</f>
        <v>0</v>
      </c>
      <c r="H157" s="2"/>
      <c r="I157" s="1"/>
      <c r="J157" s="1"/>
    </row>
    <row r="158" customFormat="false" ht="15" hidden="false" customHeight="false" outlineLevel="0" collapsed="false">
      <c r="A158" s="4" t="n">
        <v>39320</v>
      </c>
      <c r="B158" s="0" t="s">
        <v>20</v>
      </c>
      <c r="C158" s="1" t="n">
        <v>6</v>
      </c>
      <c r="D158" s="0" t="s">
        <v>18</v>
      </c>
      <c r="E158" s="1" t="n">
        <f aca="false">crudos!E158+crudos!F158</f>
        <v>0</v>
      </c>
      <c r="F158" s="1" t="n">
        <f aca="false">crudos!G158+crudos!H158</f>
        <v>0</v>
      </c>
      <c r="G158" s="1" t="n">
        <f aca="false">crudos!I158+crudos!J158</f>
        <v>0</v>
      </c>
      <c r="H158" s="2"/>
      <c r="I158" s="1"/>
      <c r="J158" s="1"/>
    </row>
    <row r="159" customFormat="false" ht="15" hidden="false" customHeight="false" outlineLevel="0" collapsed="false">
      <c r="A159" s="4" t="n">
        <v>39320</v>
      </c>
      <c r="B159" s="0" t="s">
        <v>20</v>
      </c>
      <c r="C159" s="1" t="n">
        <v>7</v>
      </c>
      <c r="D159" s="0" t="s">
        <v>13</v>
      </c>
      <c r="E159" s="1" t="n">
        <f aca="false">crudos!E159+crudos!F159</f>
        <v>0</v>
      </c>
      <c r="F159" s="1" t="n">
        <f aca="false">crudos!G159+crudos!H159</f>
        <v>0</v>
      </c>
      <c r="G159" s="1" t="n">
        <f aca="false">crudos!I159+crudos!J159</f>
        <v>0</v>
      </c>
      <c r="H159" s="2" t="n">
        <v>2</v>
      </c>
      <c r="I159" s="1"/>
      <c r="J159" s="1"/>
    </row>
    <row r="160" customFormat="false" ht="15" hidden="false" customHeight="false" outlineLevel="0" collapsed="false">
      <c r="A160" s="4" t="n">
        <v>39320</v>
      </c>
      <c r="B160" s="0" t="s">
        <v>20</v>
      </c>
      <c r="C160" s="1" t="n">
        <v>7</v>
      </c>
      <c r="D160" s="0" t="s">
        <v>14</v>
      </c>
      <c r="E160" s="1" t="n">
        <f aca="false">crudos!E160+crudos!F160</f>
        <v>3</v>
      </c>
      <c r="F160" s="1" t="n">
        <f aca="false">crudos!G160+crudos!H160</f>
        <v>0</v>
      </c>
      <c r="G160" s="1" t="n">
        <f aca="false">crudos!I160+crudos!J160</f>
        <v>0</v>
      </c>
      <c r="H160" s="2"/>
      <c r="I160" s="1"/>
      <c r="J160" s="1"/>
    </row>
    <row r="161" customFormat="false" ht="15" hidden="false" customHeight="false" outlineLevel="0" collapsed="false">
      <c r="A161" s="4" t="n">
        <v>39320</v>
      </c>
      <c r="B161" s="0" t="s">
        <v>20</v>
      </c>
      <c r="C161" s="1" t="n">
        <v>7</v>
      </c>
      <c r="D161" s="0" t="s">
        <v>15</v>
      </c>
      <c r="E161" s="1" t="n">
        <f aca="false">crudos!E161+crudos!F161</f>
        <v>0</v>
      </c>
      <c r="F161" s="1" t="n">
        <f aca="false">crudos!G161+crudos!H161</f>
        <v>0</v>
      </c>
      <c r="G161" s="1" t="n">
        <f aca="false">crudos!I161+crudos!J161</f>
        <v>0</v>
      </c>
      <c r="H161" s="2"/>
      <c r="I161" s="1"/>
      <c r="J161" s="1"/>
    </row>
    <row r="162" customFormat="false" ht="15" hidden="false" customHeight="false" outlineLevel="0" collapsed="false">
      <c r="A162" s="4" t="n">
        <v>39320</v>
      </c>
      <c r="B162" s="0" t="s">
        <v>20</v>
      </c>
      <c r="C162" s="1" t="n">
        <v>7</v>
      </c>
      <c r="D162" s="0" t="s">
        <v>16</v>
      </c>
      <c r="E162" s="1" t="n">
        <f aca="false">crudos!E162+crudos!F162</f>
        <v>0</v>
      </c>
      <c r="F162" s="1" t="n">
        <f aca="false">crudos!G162+crudos!H162</f>
        <v>0</v>
      </c>
      <c r="G162" s="1" t="n">
        <f aca="false">crudos!I162+crudos!J162</f>
        <v>0</v>
      </c>
      <c r="H162" s="2"/>
      <c r="I162" s="1"/>
      <c r="J162" s="1"/>
    </row>
    <row r="163" customFormat="false" ht="15" hidden="false" customHeight="false" outlineLevel="0" collapsed="false">
      <c r="A163" s="4" t="n">
        <v>39320</v>
      </c>
      <c r="B163" s="0" t="s">
        <v>20</v>
      </c>
      <c r="C163" s="1" t="n">
        <v>7</v>
      </c>
      <c r="D163" s="0" t="s">
        <v>17</v>
      </c>
      <c r="E163" s="1" t="n">
        <f aca="false">crudos!E163+crudos!F163</f>
        <v>0</v>
      </c>
      <c r="F163" s="1" t="n">
        <f aca="false">crudos!G163+crudos!H163</f>
        <v>3</v>
      </c>
      <c r="G163" s="1" t="n">
        <f aca="false">crudos!I163+crudos!J163</f>
        <v>3</v>
      </c>
      <c r="H163" s="2"/>
      <c r="I163" s="1"/>
      <c r="J163" s="1"/>
    </row>
    <row r="164" customFormat="false" ht="15" hidden="false" customHeight="false" outlineLevel="0" collapsed="false">
      <c r="A164" s="4" t="n">
        <v>39320</v>
      </c>
      <c r="B164" s="0" t="s">
        <v>20</v>
      </c>
      <c r="C164" s="1" t="n">
        <v>7</v>
      </c>
      <c r="D164" s="0" t="s">
        <v>18</v>
      </c>
      <c r="E164" s="1" t="n">
        <f aca="false">crudos!E164+crudos!F164</f>
        <v>0</v>
      </c>
      <c r="F164" s="1" t="n">
        <f aca="false">crudos!G164+crudos!H164</f>
        <v>0</v>
      </c>
      <c r="G164" s="1" t="n">
        <f aca="false">crudos!I164+crudos!J164</f>
        <v>0</v>
      </c>
      <c r="H164" s="2"/>
      <c r="I164" s="1"/>
      <c r="J164" s="1"/>
    </row>
    <row r="165" customFormat="false" ht="15" hidden="false" customHeight="false" outlineLevel="0" collapsed="false">
      <c r="A165" s="4" t="n">
        <v>39320</v>
      </c>
      <c r="B165" s="0" t="s">
        <v>20</v>
      </c>
      <c r="C165" s="1" t="n">
        <v>8</v>
      </c>
      <c r="D165" s="0" t="s">
        <v>13</v>
      </c>
      <c r="E165" s="1" t="n">
        <f aca="false">crudos!E165+crudos!F165</f>
        <v>0</v>
      </c>
      <c r="F165" s="1" t="n">
        <f aca="false">crudos!G165+crudos!H165</f>
        <v>0</v>
      </c>
      <c r="G165" s="1" t="n">
        <f aca="false">crudos!I165+crudos!J165</f>
        <v>0</v>
      </c>
      <c r="H165" s="2" t="n">
        <v>2</v>
      </c>
      <c r="I165" s="1"/>
      <c r="J165" s="1"/>
    </row>
    <row r="166" customFormat="false" ht="15" hidden="false" customHeight="false" outlineLevel="0" collapsed="false">
      <c r="A166" s="4" t="n">
        <v>39320</v>
      </c>
      <c r="B166" s="0" t="s">
        <v>20</v>
      </c>
      <c r="C166" s="1" t="n">
        <v>8</v>
      </c>
      <c r="D166" s="0" t="s">
        <v>14</v>
      </c>
      <c r="E166" s="1" t="n">
        <f aca="false">crudos!E166+crudos!F166</f>
        <v>1</v>
      </c>
      <c r="F166" s="1" t="n">
        <f aca="false">crudos!G166+crudos!H166</f>
        <v>0</v>
      </c>
      <c r="G166" s="1" t="n">
        <f aca="false">crudos!I166+crudos!J166</f>
        <v>0</v>
      </c>
      <c r="H166" s="2"/>
      <c r="I166" s="1"/>
      <c r="J166" s="1"/>
    </row>
    <row r="167" customFormat="false" ht="15" hidden="false" customHeight="false" outlineLevel="0" collapsed="false">
      <c r="A167" s="4" t="n">
        <v>39320</v>
      </c>
      <c r="B167" s="0" t="s">
        <v>20</v>
      </c>
      <c r="C167" s="1" t="n">
        <v>8</v>
      </c>
      <c r="D167" s="0" t="s">
        <v>15</v>
      </c>
      <c r="E167" s="1" t="n">
        <f aca="false">crudos!E167+crudos!F167</f>
        <v>0</v>
      </c>
      <c r="F167" s="1" t="n">
        <f aca="false">crudos!G167+crudos!H167</f>
        <v>0</v>
      </c>
      <c r="G167" s="1" t="n">
        <f aca="false">crudos!I167+crudos!J167</f>
        <v>0</v>
      </c>
      <c r="H167" s="2"/>
      <c r="I167" s="1"/>
      <c r="J167" s="1"/>
    </row>
    <row r="168" customFormat="false" ht="15" hidden="false" customHeight="false" outlineLevel="0" collapsed="false">
      <c r="A168" s="4" t="n">
        <v>39320</v>
      </c>
      <c r="B168" s="0" t="s">
        <v>20</v>
      </c>
      <c r="C168" s="1" t="n">
        <v>8</v>
      </c>
      <c r="D168" s="0" t="s">
        <v>16</v>
      </c>
      <c r="E168" s="1" t="n">
        <f aca="false">crudos!E168+crudos!F168</f>
        <v>0</v>
      </c>
      <c r="F168" s="1" t="n">
        <f aca="false">crudos!G168+crudos!H168</f>
        <v>0</v>
      </c>
      <c r="G168" s="1" t="n">
        <f aca="false">crudos!I168+crudos!J168</f>
        <v>1</v>
      </c>
      <c r="H168" s="2"/>
      <c r="I168" s="1"/>
      <c r="J168" s="1"/>
    </row>
    <row r="169" customFormat="false" ht="15" hidden="false" customHeight="false" outlineLevel="0" collapsed="false">
      <c r="A169" s="4" t="n">
        <v>39320</v>
      </c>
      <c r="B169" s="0" t="s">
        <v>20</v>
      </c>
      <c r="C169" s="1" t="n">
        <v>8</v>
      </c>
      <c r="D169" s="0" t="s">
        <v>17</v>
      </c>
      <c r="E169" s="1" t="n">
        <f aca="false">crudos!E169+crudos!F169</f>
        <v>2</v>
      </c>
      <c r="F169" s="1" t="n">
        <f aca="false">crudos!G169+crudos!H169</f>
        <v>3</v>
      </c>
      <c r="G169" s="1" t="n">
        <f aca="false">crudos!I169+crudos!J169</f>
        <v>1</v>
      </c>
      <c r="H169" s="2"/>
      <c r="I169" s="1"/>
      <c r="J169" s="1"/>
    </row>
    <row r="170" customFormat="false" ht="15" hidden="false" customHeight="false" outlineLevel="0" collapsed="false">
      <c r="A170" s="4" t="n">
        <v>39320</v>
      </c>
      <c r="B170" s="0" t="s">
        <v>20</v>
      </c>
      <c r="C170" s="1" t="n">
        <v>8</v>
      </c>
      <c r="D170" s="0" t="s">
        <v>18</v>
      </c>
      <c r="E170" s="1" t="n">
        <f aca="false">crudos!E170+crudos!F170</f>
        <v>2</v>
      </c>
      <c r="F170" s="1" t="n">
        <f aca="false">crudos!G170+crudos!H170</f>
        <v>0</v>
      </c>
      <c r="G170" s="1" t="n">
        <f aca="false">crudos!I170+crudos!J170</f>
        <v>0</v>
      </c>
      <c r="H170" s="2"/>
      <c r="I170" s="1"/>
      <c r="J170" s="1"/>
    </row>
    <row r="171" customFormat="false" ht="15" hidden="false" customHeight="false" outlineLevel="0" collapsed="false">
      <c r="A171" s="4" t="n">
        <v>39320</v>
      </c>
      <c r="B171" s="0" t="s">
        <v>20</v>
      </c>
      <c r="C171" s="1" t="n">
        <v>9</v>
      </c>
      <c r="D171" s="0" t="s">
        <v>13</v>
      </c>
      <c r="E171" s="1" t="n">
        <f aca="false">crudos!E171+crudos!F171</f>
        <v>0</v>
      </c>
      <c r="F171" s="1" t="n">
        <f aca="false">crudos!G171+crudos!H171</f>
        <v>0</v>
      </c>
      <c r="G171" s="1" t="n">
        <f aca="false">crudos!I171+crudos!J171</f>
        <v>0</v>
      </c>
      <c r="H171" s="2" t="n">
        <v>0</v>
      </c>
      <c r="I171" s="1"/>
      <c r="J171" s="1"/>
    </row>
    <row r="172" customFormat="false" ht="15" hidden="false" customHeight="false" outlineLevel="0" collapsed="false">
      <c r="A172" s="4" t="n">
        <v>39320</v>
      </c>
      <c r="B172" s="0" t="s">
        <v>20</v>
      </c>
      <c r="C172" s="1" t="n">
        <v>9</v>
      </c>
      <c r="D172" s="0" t="s">
        <v>14</v>
      </c>
      <c r="E172" s="1" t="n">
        <f aca="false">crudos!E172+crudos!F172</f>
        <v>0</v>
      </c>
      <c r="F172" s="1" t="n">
        <f aca="false">crudos!G172+crudos!H172</f>
        <v>0</v>
      </c>
      <c r="G172" s="1" t="n">
        <f aca="false">crudos!I172+crudos!J172</f>
        <v>0</v>
      </c>
      <c r="H172" s="2"/>
      <c r="I172" s="1"/>
      <c r="J172" s="1"/>
    </row>
    <row r="173" customFormat="false" ht="15" hidden="false" customHeight="false" outlineLevel="0" collapsed="false">
      <c r="A173" s="4" t="n">
        <v>39320</v>
      </c>
      <c r="B173" s="0" t="s">
        <v>20</v>
      </c>
      <c r="C173" s="1" t="n">
        <v>9</v>
      </c>
      <c r="D173" s="0" t="s">
        <v>15</v>
      </c>
      <c r="E173" s="1" t="n">
        <f aca="false">crudos!E173+crudos!F173</f>
        <v>0</v>
      </c>
      <c r="F173" s="1" t="n">
        <f aca="false">crudos!G173+crudos!H173</f>
        <v>0</v>
      </c>
      <c r="G173" s="1" t="n">
        <f aca="false">crudos!I173+crudos!J173</f>
        <v>0</v>
      </c>
      <c r="H173" s="2"/>
      <c r="I173" s="1"/>
      <c r="J173" s="1"/>
    </row>
    <row r="174" customFormat="false" ht="15" hidden="false" customHeight="false" outlineLevel="0" collapsed="false">
      <c r="A174" s="4" t="n">
        <v>39320</v>
      </c>
      <c r="B174" s="0" t="s">
        <v>20</v>
      </c>
      <c r="C174" s="1" t="n">
        <v>9</v>
      </c>
      <c r="D174" s="0" t="s">
        <v>16</v>
      </c>
      <c r="E174" s="1" t="n">
        <f aca="false">crudos!E174+crudos!F174</f>
        <v>0</v>
      </c>
      <c r="F174" s="1" t="n">
        <f aca="false">crudos!G174+crudos!H174</f>
        <v>0</v>
      </c>
      <c r="G174" s="1" t="n">
        <f aca="false">crudos!I174+crudos!J174</f>
        <v>0</v>
      </c>
      <c r="H174" s="2"/>
      <c r="I174" s="1"/>
      <c r="J174" s="1"/>
    </row>
    <row r="175" customFormat="false" ht="15" hidden="false" customHeight="false" outlineLevel="0" collapsed="false">
      <c r="A175" s="4" t="n">
        <v>39320</v>
      </c>
      <c r="B175" s="0" t="s">
        <v>20</v>
      </c>
      <c r="C175" s="1" t="n">
        <v>9</v>
      </c>
      <c r="D175" s="0" t="s">
        <v>17</v>
      </c>
      <c r="E175" s="1" t="n">
        <f aca="false">crudos!E175+crudos!F175</f>
        <v>1</v>
      </c>
      <c r="F175" s="1" t="n">
        <f aca="false">crudos!G175+crudos!H175</f>
        <v>2</v>
      </c>
      <c r="G175" s="1" t="n">
        <f aca="false">crudos!I175+crudos!J175</f>
        <v>2</v>
      </c>
      <c r="H175" s="2"/>
      <c r="I175" s="1"/>
      <c r="J175" s="1"/>
    </row>
    <row r="176" customFormat="false" ht="15" hidden="false" customHeight="false" outlineLevel="0" collapsed="false">
      <c r="A176" s="4" t="n">
        <v>39320</v>
      </c>
      <c r="B176" s="0" t="s">
        <v>20</v>
      </c>
      <c r="C176" s="1" t="n">
        <v>9</v>
      </c>
      <c r="D176" s="0" t="s">
        <v>18</v>
      </c>
      <c r="E176" s="1" t="n">
        <f aca="false">crudos!E176+crudos!F176</f>
        <v>0</v>
      </c>
      <c r="F176" s="1" t="n">
        <f aca="false">crudos!G176+crudos!H176</f>
        <v>0</v>
      </c>
      <c r="G176" s="1" t="n">
        <f aca="false">crudos!I176+crudos!J176</f>
        <v>0</v>
      </c>
      <c r="H176" s="2"/>
      <c r="I176" s="1"/>
      <c r="J176" s="1"/>
    </row>
    <row r="177" customFormat="false" ht="15" hidden="false" customHeight="false" outlineLevel="0" collapsed="false">
      <c r="A177" s="4" t="n">
        <v>39320</v>
      </c>
      <c r="B177" s="0" t="s">
        <v>20</v>
      </c>
      <c r="C177" s="1" t="n">
        <v>10</v>
      </c>
      <c r="D177" s="0" t="s">
        <v>13</v>
      </c>
      <c r="E177" s="1" t="n">
        <f aca="false">crudos!E177+crudos!F177</f>
        <v>0</v>
      </c>
      <c r="F177" s="1" t="n">
        <f aca="false">crudos!G177+crudos!H177</f>
        <v>0</v>
      </c>
      <c r="G177" s="1" t="n">
        <f aca="false">crudos!I177+crudos!J177</f>
        <v>0</v>
      </c>
      <c r="H177" s="2" t="n">
        <v>0</v>
      </c>
      <c r="I177" s="1"/>
      <c r="J177" s="1"/>
    </row>
    <row r="178" customFormat="false" ht="15" hidden="false" customHeight="false" outlineLevel="0" collapsed="false">
      <c r="A178" s="4" t="n">
        <v>39320</v>
      </c>
      <c r="B178" s="0" t="s">
        <v>20</v>
      </c>
      <c r="C178" s="1" t="n">
        <v>10</v>
      </c>
      <c r="D178" s="0" t="s">
        <v>14</v>
      </c>
      <c r="E178" s="1" t="n">
        <f aca="false">crudos!E178+crudos!F178</f>
        <v>0</v>
      </c>
      <c r="F178" s="1" t="n">
        <f aca="false">crudos!G178+crudos!H178</f>
        <v>0</v>
      </c>
      <c r="G178" s="1" t="n">
        <f aca="false">crudos!I178+crudos!J178</f>
        <v>0</v>
      </c>
      <c r="H178" s="2"/>
      <c r="I178" s="1"/>
      <c r="J178" s="1"/>
    </row>
    <row r="179" customFormat="false" ht="15" hidden="false" customHeight="false" outlineLevel="0" collapsed="false">
      <c r="A179" s="4" t="n">
        <v>39320</v>
      </c>
      <c r="B179" s="0" t="s">
        <v>20</v>
      </c>
      <c r="C179" s="1" t="n">
        <v>10</v>
      </c>
      <c r="D179" s="0" t="s">
        <v>15</v>
      </c>
      <c r="E179" s="1" t="n">
        <f aca="false">crudos!E179+crudos!F179</f>
        <v>0</v>
      </c>
      <c r="F179" s="1" t="n">
        <f aca="false">crudos!G179+crudos!H179</f>
        <v>0</v>
      </c>
      <c r="G179" s="1" t="n">
        <f aca="false">crudos!I179+crudos!J179</f>
        <v>0</v>
      </c>
      <c r="H179" s="2"/>
      <c r="I179" s="1"/>
      <c r="J179" s="1"/>
    </row>
    <row r="180" customFormat="false" ht="15" hidden="false" customHeight="false" outlineLevel="0" collapsed="false">
      <c r="A180" s="4" t="n">
        <v>39320</v>
      </c>
      <c r="B180" s="0" t="s">
        <v>20</v>
      </c>
      <c r="C180" s="1" t="n">
        <v>10</v>
      </c>
      <c r="D180" s="0" t="s">
        <v>16</v>
      </c>
      <c r="E180" s="1" t="n">
        <f aca="false">crudos!E180+crudos!F180</f>
        <v>0</v>
      </c>
      <c r="F180" s="1" t="n">
        <f aca="false">crudos!G180+crudos!H180</f>
        <v>1</v>
      </c>
      <c r="G180" s="1" t="n">
        <f aca="false">crudos!I180+crudos!J180</f>
        <v>1</v>
      </c>
      <c r="H180" s="2"/>
      <c r="I180" s="1"/>
      <c r="J180" s="1"/>
    </row>
    <row r="181" customFormat="false" ht="15" hidden="false" customHeight="false" outlineLevel="0" collapsed="false">
      <c r="A181" s="4" t="n">
        <v>39320</v>
      </c>
      <c r="B181" s="0" t="s">
        <v>20</v>
      </c>
      <c r="C181" s="1" t="n">
        <v>10</v>
      </c>
      <c r="D181" s="0" t="s">
        <v>17</v>
      </c>
      <c r="E181" s="1" t="n">
        <f aca="false">crudos!E181+crudos!F181</f>
        <v>0</v>
      </c>
      <c r="F181" s="1" t="n">
        <f aca="false">crudos!G181+crudos!H181</f>
        <v>6</v>
      </c>
      <c r="G181" s="1" t="n">
        <f aca="false">crudos!I181+crudos!J181</f>
        <v>6</v>
      </c>
      <c r="H181" s="2"/>
      <c r="I181" s="1"/>
      <c r="J181" s="1"/>
    </row>
    <row r="182" customFormat="false" ht="15" hidden="false" customHeight="false" outlineLevel="0" collapsed="false">
      <c r="A182" s="4" t="n">
        <v>39320</v>
      </c>
      <c r="B182" s="0" t="s">
        <v>20</v>
      </c>
      <c r="C182" s="1" t="n">
        <v>10</v>
      </c>
      <c r="D182" s="0" t="s">
        <v>18</v>
      </c>
      <c r="E182" s="1" t="n">
        <f aca="false">crudos!E182+crudos!F182</f>
        <v>0</v>
      </c>
      <c r="F182" s="1" t="n">
        <f aca="false">crudos!G182+crudos!H182</f>
        <v>0</v>
      </c>
      <c r="G182" s="1" t="n">
        <f aca="false">crudos!I182+crudos!J182</f>
        <v>0</v>
      </c>
      <c r="H182" s="2"/>
      <c r="I182" s="1"/>
      <c r="J182" s="1"/>
    </row>
    <row r="183" customFormat="false" ht="15" hidden="false" customHeight="false" outlineLevel="0" collapsed="false">
      <c r="A183" s="4" t="n">
        <v>39257</v>
      </c>
      <c r="B183" s="0" t="s">
        <v>21</v>
      </c>
      <c r="C183" s="1" t="n">
        <v>1</v>
      </c>
      <c r="D183" s="0" t="s">
        <v>13</v>
      </c>
      <c r="E183" s="1" t="n">
        <f aca="false">crudos!E183+crudos!F183</f>
        <v>0</v>
      </c>
      <c r="F183" s="1" t="n">
        <f aca="false">crudos!G183+crudos!H183</f>
        <v>0</v>
      </c>
      <c r="G183" s="1" t="n">
        <f aca="false">crudos!I183+crudos!J183</f>
        <v>0</v>
      </c>
      <c r="H183" s="2" t="n">
        <v>0</v>
      </c>
      <c r="I183" s="1"/>
      <c r="J183" s="1"/>
    </row>
    <row r="184" customFormat="false" ht="15" hidden="false" customHeight="false" outlineLevel="0" collapsed="false">
      <c r="A184" s="4" t="n">
        <v>39257</v>
      </c>
      <c r="B184" s="0" t="s">
        <v>21</v>
      </c>
      <c r="C184" s="1" t="n">
        <v>1</v>
      </c>
      <c r="D184" s="0" t="s">
        <v>14</v>
      </c>
      <c r="E184" s="1" t="n">
        <f aca="false">crudos!E184+crudos!F184</f>
        <v>5</v>
      </c>
      <c r="F184" s="1" t="n">
        <f aca="false">crudos!G184+crudos!H184</f>
        <v>0</v>
      </c>
      <c r="G184" s="1" t="n">
        <f aca="false">crudos!I184+crudos!J184</f>
        <v>0</v>
      </c>
      <c r="H184" s="2"/>
      <c r="I184" s="1"/>
      <c r="J184" s="1"/>
    </row>
    <row r="185" customFormat="false" ht="15" hidden="false" customHeight="false" outlineLevel="0" collapsed="false">
      <c r="A185" s="4" t="n">
        <v>39257</v>
      </c>
      <c r="B185" s="0" t="s">
        <v>21</v>
      </c>
      <c r="C185" s="1" t="n">
        <v>1</v>
      </c>
      <c r="D185" s="0" t="s">
        <v>15</v>
      </c>
      <c r="E185" s="1" t="n">
        <f aca="false">crudos!E185+crudos!F185</f>
        <v>1</v>
      </c>
      <c r="F185" s="1" t="n">
        <f aca="false">crudos!G185+crudos!H185</f>
        <v>0</v>
      </c>
      <c r="G185" s="1" t="n">
        <f aca="false">crudos!I185+crudos!J185</f>
        <v>0</v>
      </c>
      <c r="H185" s="2"/>
      <c r="I185" s="1"/>
      <c r="J185" s="1"/>
    </row>
    <row r="186" customFormat="false" ht="15" hidden="false" customHeight="false" outlineLevel="0" collapsed="false">
      <c r="A186" s="4" t="n">
        <v>39257</v>
      </c>
      <c r="B186" s="0" t="s">
        <v>21</v>
      </c>
      <c r="C186" s="1" t="n">
        <v>1</v>
      </c>
      <c r="D186" s="0" t="s">
        <v>16</v>
      </c>
      <c r="E186" s="1" t="n">
        <f aca="false">crudos!E186+crudos!F186</f>
        <v>0</v>
      </c>
      <c r="F186" s="1" t="n">
        <f aca="false">crudos!G186+crudos!H186</f>
        <v>0</v>
      </c>
      <c r="G186" s="1" t="n">
        <f aca="false">crudos!I186+crudos!J186</f>
        <v>2</v>
      </c>
      <c r="H186" s="2"/>
      <c r="I186" s="1"/>
      <c r="J186" s="1"/>
    </row>
    <row r="187" customFormat="false" ht="15" hidden="false" customHeight="false" outlineLevel="0" collapsed="false">
      <c r="A187" s="4" t="n">
        <v>39257</v>
      </c>
      <c r="B187" s="0" t="s">
        <v>21</v>
      </c>
      <c r="C187" s="1" t="n">
        <v>1</v>
      </c>
      <c r="D187" s="0" t="s">
        <v>17</v>
      </c>
      <c r="E187" s="1" t="n">
        <f aca="false">crudos!E187+crudos!F187</f>
        <v>3</v>
      </c>
      <c r="F187" s="1" t="n">
        <f aca="false">crudos!G187+crudos!H187</f>
        <v>3</v>
      </c>
      <c r="G187" s="1" t="n">
        <f aca="false">crudos!I187+crudos!J187</f>
        <v>3</v>
      </c>
      <c r="H187" s="2"/>
      <c r="I187" s="1"/>
      <c r="J187" s="1"/>
    </row>
    <row r="188" customFormat="false" ht="15" hidden="false" customHeight="false" outlineLevel="0" collapsed="false">
      <c r="A188" s="4" t="n">
        <v>39257</v>
      </c>
      <c r="B188" s="0" t="s">
        <v>21</v>
      </c>
      <c r="C188" s="1" t="n">
        <v>1</v>
      </c>
      <c r="D188" s="0" t="s">
        <v>18</v>
      </c>
      <c r="E188" s="1" t="n">
        <f aca="false">crudos!E188+crudos!F188</f>
        <v>0</v>
      </c>
      <c r="F188" s="1" t="n">
        <f aca="false">crudos!G188+crudos!H188</f>
        <v>0</v>
      </c>
      <c r="G188" s="1" t="n">
        <f aca="false">crudos!I188+crudos!J188</f>
        <v>0</v>
      </c>
      <c r="H188" s="2"/>
      <c r="I188" s="1"/>
      <c r="J188" s="1"/>
    </row>
    <row r="189" customFormat="false" ht="15" hidden="false" customHeight="false" outlineLevel="0" collapsed="false">
      <c r="A189" s="4" t="n">
        <v>39257</v>
      </c>
      <c r="B189" s="0" t="s">
        <v>21</v>
      </c>
      <c r="C189" s="1" t="n">
        <v>2</v>
      </c>
      <c r="D189" s="0" t="s">
        <v>13</v>
      </c>
      <c r="E189" s="1" t="n">
        <f aca="false">crudos!E189+crudos!F189</f>
        <v>0</v>
      </c>
      <c r="F189" s="1" t="n">
        <f aca="false">crudos!G189+crudos!H189</f>
        <v>0</v>
      </c>
      <c r="G189" s="1" t="n">
        <f aca="false">crudos!I189+crudos!J189</f>
        <v>0</v>
      </c>
      <c r="H189" s="2" t="n">
        <v>0</v>
      </c>
      <c r="I189" s="1"/>
      <c r="J189" s="1"/>
    </row>
    <row r="190" customFormat="false" ht="15" hidden="false" customHeight="false" outlineLevel="0" collapsed="false">
      <c r="A190" s="4" t="n">
        <v>39257</v>
      </c>
      <c r="B190" s="0" t="s">
        <v>21</v>
      </c>
      <c r="C190" s="1" t="n">
        <v>2</v>
      </c>
      <c r="D190" s="0" t="s">
        <v>14</v>
      </c>
      <c r="E190" s="1" t="n">
        <f aca="false">crudos!E190+crudos!F190</f>
        <v>10</v>
      </c>
      <c r="F190" s="1" t="n">
        <f aca="false">crudos!G190+crudos!H190</f>
        <v>1</v>
      </c>
      <c r="G190" s="1" t="n">
        <f aca="false">crudos!I190+crudos!J190</f>
        <v>0</v>
      </c>
      <c r="H190" s="2"/>
      <c r="I190" s="1"/>
      <c r="J190" s="1"/>
    </row>
    <row r="191" customFormat="false" ht="15" hidden="false" customHeight="false" outlineLevel="0" collapsed="false">
      <c r="A191" s="4" t="n">
        <v>39257</v>
      </c>
      <c r="B191" s="0" t="s">
        <v>21</v>
      </c>
      <c r="C191" s="1" t="n">
        <v>2</v>
      </c>
      <c r="D191" s="0" t="s">
        <v>15</v>
      </c>
      <c r="E191" s="1" t="n">
        <f aca="false">crudos!E191+crudos!F191</f>
        <v>0</v>
      </c>
      <c r="F191" s="1" t="n">
        <f aca="false">crudos!G191+crudos!H191</f>
        <v>0</v>
      </c>
      <c r="G191" s="1" t="n">
        <f aca="false">crudos!I191+crudos!J191</f>
        <v>0</v>
      </c>
      <c r="H191" s="2"/>
      <c r="I191" s="1"/>
      <c r="J191" s="1"/>
    </row>
    <row r="192" customFormat="false" ht="15" hidden="false" customHeight="false" outlineLevel="0" collapsed="false">
      <c r="A192" s="4" t="n">
        <v>39257</v>
      </c>
      <c r="B192" s="0" t="s">
        <v>21</v>
      </c>
      <c r="C192" s="1" t="n">
        <v>2</v>
      </c>
      <c r="D192" s="0" t="s">
        <v>16</v>
      </c>
      <c r="E192" s="1" t="n">
        <f aca="false">crudos!E192+crudos!F192</f>
        <v>0</v>
      </c>
      <c r="F192" s="1" t="n">
        <f aca="false">crudos!G192+crudos!H192</f>
        <v>2</v>
      </c>
      <c r="G192" s="1" t="n">
        <f aca="false">crudos!I192+crudos!J192</f>
        <v>1</v>
      </c>
      <c r="H192" s="2"/>
      <c r="I192" s="1"/>
      <c r="J192" s="1"/>
    </row>
    <row r="193" customFormat="false" ht="15" hidden="false" customHeight="false" outlineLevel="0" collapsed="false">
      <c r="A193" s="4" t="n">
        <v>39257</v>
      </c>
      <c r="B193" s="0" t="s">
        <v>21</v>
      </c>
      <c r="C193" s="1" t="n">
        <v>2</v>
      </c>
      <c r="D193" s="0" t="s">
        <v>17</v>
      </c>
      <c r="E193" s="1" t="n">
        <f aca="false">crudos!E193+crudos!F193</f>
        <v>0</v>
      </c>
      <c r="F193" s="1" t="n">
        <f aca="false">crudos!G193+crudos!H193</f>
        <v>1</v>
      </c>
      <c r="G193" s="1" t="n">
        <f aca="false">crudos!I193+crudos!J193</f>
        <v>2</v>
      </c>
      <c r="H193" s="2"/>
      <c r="I193" s="1"/>
      <c r="J193" s="1"/>
    </row>
    <row r="194" customFormat="false" ht="15" hidden="false" customHeight="false" outlineLevel="0" collapsed="false">
      <c r="A194" s="4" t="n">
        <v>39257</v>
      </c>
      <c r="B194" s="0" t="s">
        <v>21</v>
      </c>
      <c r="C194" s="1" t="n">
        <v>2</v>
      </c>
      <c r="D194" s="0" t="s">
        <v>18</v>
      </c>
      <c r="E194" s="1" t="n">
        <f aca="false">crudos!E194+crudos!F194</f>
        <v>0</v>
      </c>
      <c r="F194" s="1" t="n">
        <f aca="false">crudos!G194+crudos!H194</f>
        <v>0</v>
      </c>
      <c r="G194" s="1" t="n">
        <f aca="false">crudos!I194+crudos!J194</f>
        <v>0</v>
      </c>
      <c r="H194" s="2"/>
      <c r="I194" s="1"/>
      <c r="J194" s="1"/>
    </row>
    <row r="195" customFormat="false" ht="15" hidden="false" customHeight="false" outlineLevel="0" collapsed="false">
      <c r="A195" s="4" t="n">
        <v>39257</v>
      </c>
      <c r="B195" s="0" t="s">
        <v>21</v>
      </c>
      <c r="C195" s="1" t="n">
        <v>3</v>
      </c>
      <c r="D195" s="0" t="s">
        <v>13</v>
      </c>
      <c r="E195" s="1" t="n">
        <f aca="false">crudos!E195+crudos!F195</f>
        <v>13</v>
      </c>
      <c r="F195" s="1" t="n">
        <f aca="false">crudos!G195+crudos!H195</f>
        <v>0</v>
      </c>
      <c r="G195" s="1" t="n">
        <f aca="false">crudos!I195+crudos!J195</f>
        <v>0</v>
      </c>
      <c r="H195" s="2" t="n">
        <v>0</v>
      </c>
      <c r="I195" s="1"/>
      <c r="J195" s="1"/>
    </row>
    <row r="196" customFormat="false" ht="15" hidden="false" customHeight="false" outlineLevel="0" collapsed="false">
      <c r="A196" s="4" t="n">
        <v>39257</v>
      </c>
      <c r="B196" s="0" t="s">
        <v>21</v>
      </c>
      <c r="C196" s="1" t="n">
        <v>3</v>
      </c>
      <c r="D196" s="0" t="s">
        <v>14</v>
      </c>
      <c r="E196" s="1" t="n">
        <f aca="false">crudos!E196+crudos!F196</f>
        <v>2</v>
      </c>
      <c r="F196" s="1" t="n">
        <f aca="false">crudos!G196+crudos!H196</f>
        <v>0</v>
      </c>
      <c r="G196" s="1" t="n">
        <f aca="false">crudos!I196+crudos!J196</f>
        <v>0</v>
      </c>
      <c r="H196" s="2"/>
      <c r="I196" s="1"/>
      <c r="J196" s="1"/>
    </row>
    <row r="197" customFormat="false" ht="15" hidden="false" customHeight="false" outlineLevel="0" collapsed="false">
      <c r="A197" s="4" t="n">
        <v>39257</v>
      </c>
      <c r="B197" s="0" t="s">
        <v>21</v>
      </c>
      <c r="C197" s="1" t="n">
        <v>3</v>
      </c>
      <c r="D197" s="0" t="s">
        <v>15</v>
      </c>
      <c r="E197" s="1" t="n">
        <f aca="false">crudos!E197+crudos!F197</f>
        <v>0</v>
      </c>
      <c r="F197" s="1" t="n">
        <f aca="false">crudos!G197+crudos!H197</f>
        <v>0</v>
      </c>
      <c r="G197" s="1" t="n">
        <f aca="false">crudos!I197+crudos!J197</f>
        <v>0</v>
      </c>
      <c r="H197" s="2"/>
      <c r="I197" s="1"/>
      <c r="J197" s="1"/>
    </row>
    <row r="198" customFormat="false" ht="15" hidden="false" customHeight="false" outlineLevel="0" collapsed="false">
      <c r="A198" s="4" t="n">
        <v>39257</v>
      </c>
      <c r="B198" s="0" t="s">
        <v>21</v>
      </c>
      <c r="C198" s="1" t="n">
        <v>3</v>
      </c>
      <c r="D198" s="0" t="s">
        <v>16</v>
      </c>
      <c r="E198" s="1" t="n">
        <f aca="false">crudos!E198+crudos!F198</f>
        <v>0</v>
      </c>
      <c r="F198" s="1" t="n">
        <f aca="false">crudos!G198+crudos!H198</f>
        <v>0</v>
      </c>
      <c r="G198" s="1" t="n">
        <f aca="false">crudos!I198+crudos!J198</f>
        <v>0</v>
      </c>
      <c r="H198" s="2"/>
      <c r="I198" s="1"/>
      <c r="J198" s="1"/>
    </row>
    <row r="199" customFormat="false" ht="15" hidden="false" customHeight="false" outlineLevel="0" collapsed="false">
      <c r="A199" s="4" t="n">
        <v>39257</v>
      </c>
      <c r="B199" s="0" t="s">
        <v>21</v>
      </c>
      <c r="C199" s="1" t="n">
        <v>3</v>
      </c>
      <c r="D199" s="0" t="s">
        <v>17</v>
      </c>
      <c r="E199" s="1" t="n">
        <f aca="false">crudos!E199+crudos!F199</f>
        <v>3</v>
      </c>
      <c r="F199" s="1" t="n">
        <f aca="false">crudos!G199+crudos!H199</f>
        <v>5</v>
      </c>
      <c r="G199" s="1" t="n">
        <f aca="false">crudos!I199+crudos!J199</f>
        <v>4</v>
      </c>
      <c r="H199" s="2"/>
      <c r="I199" s="1"/>
      <c r="J199" s="1"/>
    </row>
    <row r="200" customFormat="false" ht="15" hidden="false" customHeight="false" outlineLevel="0" collapsed="false">
      <c r="A200" s="4" t="n">
        <v>39257</v>
      </c>
      <c r="B200" s="0" t="s">
        <v>21</v>
      </c>
      <c r="C200" s="1" t="n">
        <v>3</v>
      </c>
      <c r="D200" s="0" t="s">
        <v>18</v>
      </c>
      <c r="E200" s="1" t="n">
        <f aca="false">crudos!E200+crudos!F200</f>
        <v>0</v>
      </c>
      <c r="F200" s="1" t="n">
        <f aca="false">crudos!G200+crudos!H200</f>
        <v>0</v>
      </c>
      <c r="G200" s="1" t="n">
        <f aca="false">crudos!I200+crudos!J200</f>
        <v>0</v>
      </c>
      <c r="H200" s="2"/>
      <c r="I200" s="1"/>
      <c r="J200" s="1"/>
    </row>
    <row r="201" customFormat="false" ht="15" hidden="false" customHeight="false" outlineLevel="0" collapsed="false">
      <c r="A201" s="4" t="n">
        <v>39257</v>
      </c>
      <c r="B201" s="0" t="s">
        <v>21</v>
      </c>
      <c r="C201" s="1" t="n">
        <v>4</v>
      </c>
      <c r="D201" s="0" t="s">
        <v>13</v>
      </c>
      <c r="E201" s="1" t="n">
        <f aca="false">crudos!E201+crudos!F201</f>
        <v>6</v>
      </c>
      <c r="F201" s="1" t="n">
        <f aca="false">crudos!G201+crudos!H201</f>
        <v>0</v>
      </c>
      <c r="G201" s="1" t="n">
        <f aca="false">crudos!I201+crudos!J201</f>
        <v>0</v>
      </c>
      <c r="H201" s="2" t="n">
        <v>0</v>
      </c>
      <c r="I201" s="1"/>
      <c r="J201" s="1"/>
    </row>
    <row r="202" customFormat="false" ht="15" hidden="false" customHeight="false" outlineLevel="0" collapsed="false">
      <c r="A202" s="4" t="n">
        <v>39257</v>
      </c>
      <c r="B202" s="0" t="s">
        <v>21</v>
      </c>
      <c r="C202" s="1" t="n">
        <v>4</v>
      </c>
      <c r="D202" s="0" t="s">
        <v>14</v>
      </c>
      <c r="E202" s="1" t="n">
        <f aca="false">crudos!E202+crudos!F202</f>
        <v>4</v>
      </c>
      <c r="F202" s="1" t="n">
        <f aca="false">crudos!G202+crudos!H202</f>
        <v>0</v>
      </c>
      <c r="G202" s="1" t="n">
        <f aca="false">crudos!I202+crudos!J202</f>
        <v>0</v>
      </c>
      <c r="H202" s="2"/>
      <c r="I202" s="1"/>
      <c r="J202" s="1"/>
    </row>
    <row r="203" customFormat="false" ht="15" hidden="false" customHeight="false" outlineLevel="0" collapsed="false">
      <c r="A203" s="4" t="n">
        <v>39257</v>
      </c>
      <c r="B203" s="0" t="s">
        <v>21</v>
      </c>
      <c r="C203" s="1" t="n">
        <v>4</v>
      </c>
      <c r="D203" s="0" t="s">
        <v>15</v>
      </c>
      <c r="E203" s="1" t="n">
        <f aca="false">crudos!E203+crudos!F203</f>
        <v>0</v>
      </c>
      <c r="F203" s="1" t="n">
        <f aca="false">crudos!G203+crudos!H203</f>
        <v>0</v>
      </c>
      <c r="G203" s="1" t="n">
        <f aca="false">crudos!I203+crudos!J203</f>
        <v>0</v>
      </c>
      <c r="H203" s="2"/>
      <c r="I203" s="1"/>
      <c r="J203" s="1"/>
    </row>
    <row r="204" customFormat="false" ht="15" hidden="false" customHeight="false" outlineLevel="0" collapsed="false">
      <c r="A204" s="4" t="n">
        <v>39257</v>
      </c>
      <c r="B204" s="0" t="s">
        <v>21</v>
      </c>
      <c r="C204" s="1" t="n">
        <v>4</v>
      </c>
      <c r="D204" s="0" t="s">
        <v>16</v>
      </c>
      <c r="E204" s="1" t="n">
        <f aca="false">crudos!E204+crudos!F204</f>
        <v>0</v>
      </c>
      <c r="F204" s="1" t="n">
        <f aca="false">crudos!G204+crudos!H204</f>
        <v>0</v>
      </c>
      <c r="G204" s="1" t="n">
        <f aca="false">crudos!I204+crudos!J204</f>
        <v>0</v>
      </c>
      <c r="H204" s="2"/>
      <c r="I204" s="1"/>
      <c r="J204" s="1"/>
    </row>
    <row r="205" customFormat="false" ht="15" hidden="false" customHeight="false" outlineLevel="0" collapsed="false">
      <c r="A205" s="4" t="n">
        <v>39257</v>
      </c>
      <c r="B205" s="0" t="s">
        <v>21</v>
      </c>
      <c r="C205" s="1" t="n">
        <v>4</v>
      </c>
      <c r="D205" s="0" t="s">
        <v>17</v>
      </c>
      <c r="E205" s="1" t="n">
        <f aca="false">crudos!E205+crudos!F205</f>
        <v>2</v>
      </c>
      <c r="F205" s="1" t="n">
        <f aca="false">crudos!G205+crudos!H205</f>
        <v>0</v>
      </c>
      <c r="G205" s="1" t="n">
        <f aca="false">crudos!I205+crudos!J205</f>
        <v>5</v>
      </c>
      <c r="H205" s="2"/>
      <c r="I205" s="1"/>
      <c r="J205" s="1"/>
    </row>
    <row r="206" customFormat="false" ht="15" hidden="false" customHeight="false" outlineLevel="0" collapsed="false">
      <c r="A206" s="4" t="n">
        <v>39257</v>
      </c>
      <c r="B206" s="0" t="s">
        <v>21</v>
      </c>
      <c r="C206" s="1" t="n">
        <v>4</v>
      </c>
      <c r="D206" s="0" t="s">
        <v>18</v>
      </c>
      <c r="E206" s="1" t="n">
        <f aca="false">crudos!E206+crudos!F206</f>
        <v>0</v>
      </c>
      <c r="F206" s="1" t="n">
        <f aca="false">crudos!G206+crudos!H206</f>
        <v>0</v>
      </c>
      <c r="G206" s="1" t="n">
        <f aca="false">crudos!I206+crudos!J206</f>
        <v>0</v>
      </c>
      <c r="H206" s="2"/>
      <c r="I206" s="1"/>
      <c r="J206" s="1"/>
    </row>
    <row r="207" customFormat="false" ht="15" hidden="false" customHeight="false" outlineLevel="0" collapsed="false">
      <c r="A207" s="4" t="n">
        <v>39258</v>
      </c>
      <c r="B207" s="0" t="s">
        <v>21</v>
      </c>
      <c r="C207" s="1" t="n">
        <v>5</v>
      </c>
      <c r="D207" s="0" t="s">
        <v>13</v>
      </c>
      <c r="E207" s="1" t="n">
        <f aca="false">crudos!E207+crudos!F207</f>
        <v>12</v>
      </c>
      <c r="F207" s="1" t="n">
        <f aca="false">crudos!G207+crudos!H207</f>
        <v>0</v>
      </c>
      <c r="G207" s="1" t="n">
        <f aca="false">crudos!I207+crudos!J207</f>
        <v>0</v>
      </c>
      <c r="H207" s="2" t="n">
        <v>3</v>
      </c>
      <c r="I207" s="1"/>
      <c r="J207" s="1"/>
    </row>
    <row r="208" customFormat="false" ht="15" hidden="false" customHeight="false" outlineLevel="0" collapsed="false">
      <c r="A208" s="4" t="n">
        <v>39258</v>
      </c>
      <c r="B208" s="0" t="s">
        <v>21</v>
      </c>
      <c r="C208" s="1" t="n">
        <v>5</v>
      </c>
      <c r="D208" s="0" t="s">
        <v>14</v>
      </c>
      <c r="E208" s="1" t="n">
        <f aca="false">crudos!E208+crudos!F208</f>
        <v>7</v>
      </c>
      <c r="F208" s="1" t="n">
        <f aca="false">crudos!G208+crudos!H208</f>
        <v>0</v>
      </c>
      <c r="G208" s="1" t="n">
        <f aca="false">crudos!I208+crudos!J208</f>
        <v>0</v>
      </c>
      <c r="H208" s="2"/>
      <c r="I208" s="1"/>
      <c r="J208" s="1"/>
    </row>
    <row r="209" customFormat="false" ht="15" hidden="false" customHeight="false" outlineLevel="0" collapsed="false">
      <c r="A209" s="4" t="n">
        <v>39258</v>
      </c>
      <c r="B209" s="0" t="s">
        <v>21</v>
      </c>
      <c r="C209" s="1" t="n">
        <v>5</v>
      </c>
      <c r="D209" s="0" t="s">
        <v>15</v>
      </c>
      <c r="E209" s="1" t="n">
        <f aca="false">crudos!E209+crudos!F209</f>
        <v>0</v>
      </c>
      <c r="F209" s="1" t="n">
        <f aca="false">crudos!G209+crudos!H209</f>
        <v>0</v>
      </c>
      <c r="G209" s="1" t="n">
        <f aca="false">crudos!I209+crudos!J209</f>
        <v>0</v>
      </c>
      <c r="H209" s="2"/>
      <c r="I209" s="1"/>
      <c r="J209" s="1"/>
    </row>
    <row r="210" customFormat="false" ht="15" hidden="false" customHeight="false" outlineLevel="0" collapsed="false">
      <c r="A210" s="4" t="n">
        <v>39258</v>
      </c>
      <c r="B210" s="0" t="s">
        <v>21</v>
      </c>
      <c r="C210" s="1" t="n">
        <v>5</v>
      </c>
      <c r="D210" s="0" t="s">
        <v>16</v>
      </c>
      <c r="E210" s="1" t="n">
        <f aca="false">crudos!E210+crudos!F210</f>
        <v>0</v>
      </c>
      <c r="F210" s="1" t="n">
        <f aca="false">crudos!G210+crudos!H210</f>
        <v>0</v>
      </c>
      <c r="G210" s="1" t="n">
        <f aca="false">crudos!I210+crudos!J210</f>
        <v>0</v>
      </c>
      <c r="H210" s="2"/>
      <c r="I210" s="1"/>
      <c r="J210" s="1"/>
    </row>
    <row r="211" customFormat="false" ht="15" hidden="false" customHeight="false" outlineLevel="0" collapsed="false">
      <c r="A211" s="4" t="n">
        <v>39258</v>
      </c>
      <c r="B211" s="0" t="s">
        <v>21</v>
      </c>
      <c r="C211" s="1" t="n">
        <v>5</v>
      </c>
      <c r="D211" s="0" t="s">
        <v>17</v>
      </c>
      <c r="E211" s="1" t="n">
        <f aca="false">crudos!E211+crudos!F211</f>
        <v>1</v>
      </c>
      <c r="F211" s="1" t="n">
        <f aca="false">crudos!G211+crudos!H211</f>
        <v>5</v>
      </c>
      <c r="G211" s="1" t="n">
        <f aca="false">crudos!I211+crudos!J211</f>
        <v>6</v>
      </c>
      <c r="H211" s="2"/>
      <c r="I211" s="1"/>
      <c r="J211" s="1"/>
    </row>
    <row r="212" customFormat="false" ht="15" hidden="false" customHeight="false" outlineLevel="0" collapsed="false">
      <c r="A212" s="4" t="n">
        <v>39258</v>
      </c>
      <c r="B212" s="0" t="s">
        <v>21</v>
      </c>
      <c r="C212" s="1" t="n">
        <v>5</v>
      </c>
      <c r="D212" s="0" t="s">
        <v>18</v>
      </c>
      <c r="E212" s="1" t="n">
        <f aca="false">crudos!E212+crudos!F212</f>
        <v>0</v>
      </c>
      <c r="F212" s="1" t="n">
        <f aca="false">crudos!G212+crudos!H212</f>
        <v>0</v>
      </c>
      <c r="G212" s="1" t="n">
        <f aca="false">crudos!I212+crudos!J212</f>
        <v>0</v>
      </c>
      <c r="H212" s="2"/>
      <c r="I212" s="1"/>
      <c r="J212" s="1"/>
    </row>
    <row r="213" customFormat="false" ht="15" hidden="false" customHeight="false" outlineLevel="0" collapsed="false">
      <c r="A213" s="4" t="n">
        <v>39258</v>
      </c>
      <c r="B213" s="0" t="s">
        <v>21</v>
      </c>
      <c r="C213" s="1" t="n">
        <v>6</v>
      </c>
      <c r="D213" s="0" t="s">
        <v>13</v>
      </c>
      <c r="E213" s="1" t="n">
        <f aca="false">crudos!E213+crudos!F213</f>
        <v>10</v>
      </c>
      <c r="F213" s="1" t="n">
        <f aca="false">crudos!G213+crudos!H213</f>
        <v>0</v>
      </c>
      <c r="G213" s="1" t="n">
        <f aca="false">crudos!I213+crudos!J213</f>
        <v>0</v>
      </c>
      <c r="H213" s="2" t="n">
        <v>2</v>
      </c>
      <c r="I213" s="1"/>
      <c r="J213" s="1"/>
    </row>
    <row r="214" customFormat="false" ht="15" hidden="false" customHeight="false" outlineLevel="0" collapsed="false">
      <c r="A214" s="4" t="n">
        <v>39258</v>
      </c>
      <c r="B214" s="0" t="s">
        <v>21</v>
      </c>
      <c r="C214" s="1" t="n">
        <v>6</v>
      </c>
      <c r="D214" s="0" t="s">
        <v>14</v>
      </c>
      <c r="E214" s="1" t="n">
        <f aca="false">crudos!E214+crudos!F214</f>
        <v>5</v>
      </c>
      <c r="F214" s="1" t="n">
        <f aca="false">crudos!G214+crudos!H214</f>
        <v>0</v>
      </c>
      <c r="G214" s="1" t="n">
        <f aca="false">crudos!I214+crudos!J214</f>
        <v>0</v>
      </c>
      <c r="H214" s="2"/>
      <c r="I214" s="1"/>
      <c r="J214" s="1"/>
    </row>
    <row r="215" customFormat="false" ht="15" hidden="false" customHeight="false" outlineLevel="0" collapsed="false">
      <c r="A215" s="4" t="n">
        <v>39258</v>
      </c>
      <c r="B215" s="0" t="s">
        <v>21</v>
      </c>
      <c r="C215" s="1" t="n">
        <v>6</v>
      </c>
      <c r="D215" s="0" t="s">
        <v>15</v>
      </c>
      <c r="E215" s="1" t="n">
        <f aca="false">crudos!E215+crudos!F215</f>
        <v>0</v>
      </c>
      <c r="F215" s="1" t="n">
        <f aca="false">crudos!G215+crudos!H215</f>
        <v>0</v>
      </c>
      <c r="G215" s="1" t="n">
        <f aca="false">crudos!I215+crudos!J215</f>
        <v>0</v>
      </c>
      <c r="H215" s="2"/>
      <c r="I215" s="1"/>
      <c r="J215" s="1"/>
    </row>
    <row r="216" customFormat="false" ht="15" hidden="false" customHeight="false" outlineLevel="0" collapsed="false">
      <c r="A216" s="4" t="n">
        <v>39258</v>
      </c>
      <c r="B216" s="0" t="s">
        <v>21</v>
      </c>
      <c r="C216" s="1" t="n">
        <v>6</v>
      </c>
      <c r="D216" s="0" t="s">
        <v>16</v>
      </c>
      <c r="E216" s="1" t="n">
        <f aca="false">crudos!E216+crudos!F216</f>
        <v>1</v>
      </c>
      <c r="F216" s="1" t="n">
        <f aca="false">crudos!G216+crudos!H216</f>
        <v>0</v>
      </c>
      <c r="G216" s="1" t="n">
        <f aca="false">crudos!I216+crudos!J216</f>
        <v>0</v>
      </c>
      <c r="H216" s="2"/>
      <c r="I216" s="1"/>
      <c r="J216" s="1"/>
    </row>
    <row r="217" customFormat="false" ht="15" hidden="false" customHeight="false" outlineLevel="0" collapsed="false">
      <c r="A217" s="4" t="n">
        <v>39258</v>
      </c>
      <c r="B217" s="0" t="s">
        <v>21</v>
      </c>
      <c r="C217" s="1" t="n">
        <v>6</v>
      </c>
      <c r="D217" s="0" t="s">
        <v>17</v>
      </c>
      <c r="E217" s="1" t="n">
        <f aca="false">crudos!E217+crudos!F217</f>
        <v>0</v>
      </c>
      <c r="F217" s="1" t="n">
        <f aca="false">crudos!G217+crudos!H217</f>
        <v>0</v>
      </c>
      <c r="G217" s="1" t="n">
        <f aca="false">crudos!I217+crudos!J217</f>
        <v>0</v>
      </c>
      <c r="H217" s="2"/>
      <c r="I217" s="1"/>
      <c r="J217" s="1"/>
    </row>
    <row r="218" customFormat="false" ht="15" hidden="false" customHeight="false" outlineLevel="0" collapsed="false">
      <c r="A218" s="4" t="n">
        <v>39258</v>
      </c>
      <c r="B218" s="0" t="s">
        <v>21</v>
      </c>
      <c r="C218" s="1" t="n">
        <v>6</v>
      </c>
      <c r="D218" s="0" t="s">
        <v>18</v>
      </c>
      <c r="E218" s="1" t="n">
        <f aca="false">crudos!E218+crudos!F218</f>
        <v>0</v>
      </c>
      <c r="F218" s="1" t="n">
        <f aca="false">crudos!G218+crudos!H218</f>
        <v>0</v>
      </c>
      <c r="G218" s="1" t="n">
        <f aca="false">crudos!I218+crudos!J218</f>
        <v>0</v>
      </c>
      <c r="H218" s="2"/>
      <c r="I218" s="1"/>
      <c r="J218" s="1"/>
    </row>
    <row r="219" customFormat="false" ht="15" hidden="false" customHeight="false" outlineLevel="0" collapsed="false">
      <c r="A219" s="4" t="n">
        <v>39258</v>
      </c>
      <c r="B219" s="0" t="s">
        <v>21</v>
      </c>
      <c r="C219" s="1" t="n">
        <v>7</v>
      </c>
      <c r="D219" s="0" t="s">
        <v>13</v>
      </c>
      <c r="E219" s="1" t="n">
        <f aca="false">crudos!E219+crudos!F219</f>
        <v>13</v>
      </c>
      <c r="F219" s="1" t="n">
        <f aca="false">crudos!G219+crudos!H219</f>
        <v>0</v>
      </c>
      <c r="G219" s="1" t="n">
        <f aca="false">crudos!I219+crudos!J219</f>
        <v>0</v>
      </c>
      <c r="H219" s="2" t="n">
        <v>9</v>
      </c>
      <c r="I219" s="1"/>
      <c r="J219" s="1"/>
    </row>
    <row r="220" customFormat="false" ht="15" hidden="false" customHeight="false" outlineLevel="0" collapsed="false">
      <c r="A220" s="4" t="n">
        <v>39258</v>
      </c>
      <c r="B220" s="0" t="s">
        <v>21</v>
      </c>
      <c r="C220" s="1" t="n">
        <v>7</v>
      </c>
      <c r="D220" s="0" t="s">
        <v>14</v>
      </c>
      <c r="E220" s="1" t="n">
        <f aca="false">crudos!E220+crudos!F220</f>
        <v>7</v>
      </c>
      <c r="F220" s="1" t="n">
        <f aca="false">crudos!G220+crudos!H220</f>
        <v>0</v>
      </c>
      <c r="G220" s="1" t="n">
        <f aca="false">crudos!I220+crudos!J220</f>
        <v>0</v>
      </c>
      <c r="H220" s="2"/>
      <c r="I220" s="1"/>
      <c r="J220" s="1"/>
    </row>
    <row r="221" customFormat="false" ht="15" hidden="false" customHeight="false" outlineLevel="0" collapsed="false">
      <c r="A221" s="4" t="n">
        <v>39258</v>
      </c>
      <c r="B221" s="0" t="s">
        <v>21</v>
      </c>
      <c r="C221" s="1" t="n">
        <v>7</v>
      </c>
      <c r="D221" s="0" t="s">
        <v>15</v>
      </c>
      <c r="E221" s="1" t="n">
        <f aca="false">crudos!E221+crudos!F221</f>
        <v>0</v>
      </c>
      <c r="F221" s="1" t="n">
        <f aca="false">crudos!G221+crudos!H221</f>
        <v>3</v>
      </c>
      <c r="G221" s="1" t="n">
        <f aca="false">crudos!I221+crudos!J221</f>
        <v>4</v>
      </c>
      <c r="H221" s="2"/>
      <c r="I221" s="1"/>
      <c r="J221" s="1"/>
    </row>
    <row r="222" customFormat="false" ht="15" hidden="false" customHeight="false" outlineLevel="0" collapsed="false">
      <c r="A222" s="4" t="n">
        <v>39258</v>
      </c>
      <c r="B222" s="0" t="s">
        <v>21</v>
      </c>
      <c r="C222" s="1" t="n">
        <v>7</v>
      </c>
      <c r="D222" s="0" t="s">
        <v>16</v>
      </c>
      <c r="E222" s="1" t="n">
        <f aca="false">crudos!E222+crudos!F222</f>
        <v>1</v>
      </c>
      <c r="F222" s="1" t="n">
        <f aca="false">crudos!G222+crudos!H222</f>
        <v>2</v>
      </c>
      <c r="G222" s="1" t="n">
        <f aca="false">crudos!I222+crudos!J222</f>
        <v>0</v>
      </c>
      <c r="H222" s="2"/>
      <c r="I222" s="1"/>
      <c r="J222" s="1"/>
    </row>
    <row r="223" customFormat="false" ht="15" hidden="false" customHeight="false" outlineLevel="0" collapsed="false">
      <c r="A223" s="4" t="n">
        <v>39258</v>
      </c>
      <c r="B223" s="0" t="s">
        <v>21</v>
      </c>
      <c r="C223" s="1" t="n">
        <v>7</v>
      </c>
      <c r="D223" s="0" t="s">
        <v>17</v>
      </c>
      <c r="E223" s="1" t="n">
        <f aca="false">crudos!E223+crudos!F223</f>
        <v>0</v>
      </c>
      <c r="F223" s="1" t="n">
        <f aca="false">crudos!G223+crudos!H223</f>
        <v>0</v>
      </c>
      <c r="G223" s="1" t="n">
        <f aca="false">crudos!I223+crudos!J223</f>
        <v>0</v>
      </c>
      <c r="H223" s="2"/>
      <c r="I223" s="1"/>
      <c r="J223" s="1"/>
    </row>
    <row r="224" customFormat="false" ht="15" hidden="false" customHeight="false" outlineLevel="0" collapsed="false">
      <c r="A224" s="4" t="n">
        <v>39258</v>
      </c>
      <c r="B224" s="0" t="s">
        <v>21</v>
      </c>
      <c r="C224" s="1" t="n">
        <v>7</v>
      </c>
      <c r="D224" s="0" t="s">
        <v>18</v>
      </c>
      <c r="E224" s="1" t="n">
        <f aca="false">crudos!E224+crudos!F224</f>
        <v>0</v>
      </c>
      <c r="F224" s="1" t="n">
        <f aca="false">crudos!G224+crudos!H224</f>
        <v>0</v>
      </c>
      <c r="G224" s="1" t="n">
        <f aca="false">crudos!I224+crudos!J224</f>
        <v>0</v>
      </c>
      <c r="H224" s="2"/>
      <c r="I224" s="1"/>
      <c r="J224" s="1"/>
    </row>
    <row r="225" customFormat="false" ht="15" hidden="false" customHeight="false" outlineLevel="0" collapsed="false">
      <c r="A225" s="4" t="n">
        <v>39258</v>
      </c>
      <c r="B225" s="0" t="s">
        <v>21</v>
      </c>
      <c r="C225" s="1" t="n">
        <v>8</v>
      </c>
      <c r="D225" s="0" t="s">
        <v>13</v>
      </c>
      <c r="E225" s="1" t="n">
        <f aca="false">crudos!E225+crudos!F225</f>
        <v>3</v>
      </c>
      <c r="F225" s="1" t="n">
        <f aca="false">crudos!G225+crudos!H225</f>
        <v>0</v>
      </c>
      <c r="G225" s="1" t="n">
        <f aca="false">crudos!I225+crudos!J225</f>
        <v>0</v>
      </c>
      <c r="H225" s="2" t="n">
        <v>14</v>
      </c>
      <c r="I225" s="1"/>
      <c r="J225" s="1"/>
    </row>
    <row r="226" customFormat="false" ht="15" hidden="false" customHeight="false" outlineLevel="0" collapsed="false">
      <c r="A226" s="4" t="n">
        <v>39258</v>
      </c>
      <c r="B226" s="0" t="s">
        <v>21</v>
      </c>
      <c r="C226" s="1" t="n">
        <v>8</v>
      </c>
      <c r="D226" s="0" t="s">
        <v>14</v>
      </c>
      <c r="E226" s="1" t="n">
        <f aca="false">crudos!E226+crudos!F226</f>
        <v>8</v>
      </c>
      <c r="F226" s="1" t="n">
        <f aca="false">crudos!G226+crudos!H226</f>
        <v>2</v>
      </c>
      <c r="G226" s="1" t="n">
        <f aca="false">crudos!I226+crudos!J226</f>
        <v>0</v>
      </c>
      <c r="H226" s="2"/>
      <c r="I226" s="1"/>
      <c r="J226" s="1"/>
    </row>
    <row r="227" customFormat="false" ht="15" hidden="false" customHeight="false" outlineLevel="0" collapsed="false">
      <c r="A227" s="4" t="n">
        <v>39258</v>
      </c>
      <c r="B227" s="0" t="s">
        <v>21</v>
      </c>
      <c r="C227" s="1" t="n">
        <v>8</v>
      </c>
      <c r="D227" s="0" t="s">
        <v>15</v>
      </c>
      <c r="E227" s="1" t="n">
        <f aca="false">crudos!E227+crudos!F227</f>
        <v>1</v>
      </c>
      <c r="F227" s="1" t="n">
        <f aca="false">crudos!G227+crudos!H227</f>
        <v>0</v>
      </c>
      <c r="G227" s="1" t="n">
        <f aca="false">crudos!I227+crudos!J227</f>
        <v>0</v>
      </c>
      <c r="H227" s="2"/>
      <c r="I227" s="1"/>
      <c r="J227" s="1"/>
    </row>
    <row r="228" customFormat="false" ht="15" hidden="false" customHeight="false" outlineLevel="0" collapsed="false">
      <c r="A228" s="4" t="n">
        <v>39258</v>
      </c>
      <c r="B228" s="0" t="s">
        <v>21</v>
      </c>
      <c r="C228" s="1" t="n">
        <v>8</v>
      </c>
      <c r="D228" s="0" t="s">
        <v>16</v>
      </c>
      <c r="E228" s="1" t="n">
        <f aca="false">crudos!E228+crudos!F228</f>
        <v>1</v>
      </c>
      <c r="F228" s="1" t="n">
        <f aca="false">crudos!G228+crudos!H228</f>
        <v>1</v>
      </c>
      <c r="G228" s="1" t="n">
        <f aca="false">crudos!I228+crudos!J228</f>
        <v>0</v>
      </c>
      <c r="H228" s="2"/>
      <c r="I228" s="1"/>
      <c r="J228" s="1"/>
    </row>
    <row r="229" customFormat="false" ht="15" hidden="false" customHeight="false" outlineLevel="0" collapsed="false">
      <c r="A229" s="4" t="n">
        <v>39258</v>
      </c>
      <c r="B229" s="0" t="s">
        <v>21</v>
      </c>
      <c r="C229" s="1" t="n">
        <v>8</v>
      </c>
      <c r="D229" s="0" t="s">
        <v>17</v>
      </c>
      <c r="E229" s="1" t="n">
        <f aca="false">crudos!E229+crudos!F229</f>
        <v>1</v>
      </c>
      <c r="F229" s="1" t="n">
        <f aca="false">crudos!G229+crudos!H229</f>
        <v>0</v>
      </c>
      <c r="G229" s="1" t="n">
        <f aca="false">crudos!I229+crudos!J229</f>
        <v>5</v>
      </c>
      <c r="H229" s="2"/>
      <c r="I229" s="1"/>
      <c r="J229" s="1"/>
    </row>
    <row r="230" customFormat="false" ht="15" hidden="false" customHeight="false" outlineLevel="0" collapsed="false">
      <c r="A230" s="4" t="n">
        <v>39258</v>
      </c>
      <c r="B230" s="0" t="s">
        <v>21</v>
      </c>
      <c r="C230" s="1" t="n">
        <v>8</v>
      </c>
      <c r="D230" s="0" t="s">
        <v>18</v>
      </c>
      <c r="E230" s="1" t="n">
        <f aca="false">crudos!E230+crudos!F230</f>
        <v>0</v>
      </c>
      <c r="F230" s="1" t="n">
        <f aca="false">crudos!G230+crudos!H230</f>
        <v>0</v>
      </c>
      <c r="G230" s="1" t="n">
        <f aca="false">crudos!I230+crudos!J230</f>
        <v>0</v>
      </c>
      <c r="H230" s="2"/>
      <c r="I230" s="1"/>
      <c r="J230" s="1"/>
    </row>
    <row r="231" customFormat="false" ht="15" hidden="false" customHeight="false" outlineLevel="0" collapsed="false">
      <c r="A231" s="4" t="n">
        <v>39258</v>
      </c>
      <c r="B231" s="0" t="s">
        <v>21</v>
      </c>
      <c r="C231" s="1" t="n">
        <v>9</v>
      </c>
      <c r="D231" s="0" t="s">
        <v>13</v>
      </c>
      <c r="E231" s="1" t="n">
        <f aca="false">crudos!E231+crudos!F231</f>
        <v>11</v>
      </c>
      <c r="F231" s="1" t="n">
        <f aca="false">crudos!G231+crudos!H231</f>
        <v>0</v>
      </c>
      <c r="G231" s="1" t="n">
        <f aca="false">crudos!I231+crudos!J231</f>
        <v>0</v>
      </c>
      <c r="H231" s="2" t="n">
        <v>1</v>
      </c>
      <c r="I231" s="1"/>
      <c r="J231" s="1"/>
    </row>
    <row r="232" customFormat="false" ht="15" hidden="false" customHeight="false" outlineLevel="0" collapsed="false">
      <c r="A232" s="4" t="n">
        <v>39258</v>
      </c>
      <c r="B232" s="0" t="s">
        <v>21</v>
      </c>
      <c r="C232" s="1" t="n">
        <v>9</v>
      </c>
      <c r="D232" s="0" t="s">
        <v>14</v>
      </c>
      <c r="E232" s="1" t="n">
        <f aca="false">crudos!E232+crudos!F232</f>
        <v>2</v>
      </c>
      <c r="F232" s="1" t="n">
        <f aca="false">crudos!G232+crudos!H232</f>
        <v>0</v>
      </c>
      <c r="G232" s="1" t="n">
        <f aca="false">crudos!I232+crudos!J232</f>
        <v>0</v>
      </c>
      <c r="H232" s="2"/>
      <c r="I232" s="1"/>
      <c r="J232" s="1"/>
    </row>
    <row r="233" customFormat="false" ht="15" hidden="false" customHeight="false" outlineLevel="0" collapsed="false">
      <c r="A233" s="4" t="n">
        <v>39258</v>
      </c>
      <c r="B233" s="0" t="s">
        <v>21</v>
      </c>
      <c r="C233" s="1" t="n">
        <v>9</v>
      </c>
      <c r="D233" s="0" t="s">
        <v>15</v>
      </c>
      <c r="E233" s="1" t="n">
        <f aca="false">crudos!E233+crudos!F233</f>
        <v>0</v>
      </c>
      <c r="F233" s="1" t="n">
        <f aca="false">crudos!G233+crudos!H233</f>
        <v>0</v>
      </c>
      <c r="G233" s="1" t="n">
        <f aca="false">crudos!I233+crudos!J233</f>
        <v>0</v>
      </c>
      <c r="H233" s="2"/>
      <c r="I233" s="1"/>
      <c r="J233" s="1"/>
    </row>
    <row r="234" customFormat="false" ht="15" hidden="false" customHeight="false" outlineLevel="0" collapsed="false">
      <c r="A234" s="4" t="n">
        <v>39258</v>
      </c>
      <c r="B234" s="0" t="s">
        <v>21</v>
      </c>
      <c r="C234" s="1" t="n">
        <v>9</v>
      </c>
      <c r="D234" s="0" t="s">
        <v>16</v>
      </c>
      <c r="E234" s="1" t="n">
        <f aca="false">crudos!E234+crudos!F234</f>
        <v>0</v>
      </c>
      <c r="F234" s="1" t="n">
        <f aca="false">crudos!G234+crudos!H234</f>
        <v>0</v>
      </c>
      <c r="G234" s="1" t="n">
        <f aca="false">crudos!I234+crudos!J234</f>
        <v>0</v>
      </c>
      <c r="H234" s="2"/>
      <c r="I234" s="1"/>
      <c r="J234" s="1"/>
    </row>
    <row r="235" customFormat="false" ht="15" hidden="false" customHeight="false" outlineLevel="0" collapsed="false">
      <c r="A235" s="4" t="n">
        <v>39258</v>
      </c>
      <c r="B235" s="0" t="s">
        <v>21</v>
      </c>
      <c r="C235" s="1" t="n">
        <v>9</v>
      </c>
      <c r="D235" s="0" t="s">
        <v>17</v>
      </c>
      <c r="E235" s="1" t="n">
        <f aca="false">crudos!E235+crudos!F235</f>
        <v>0</v>
      </c>
      <c r="F235" s="1" t="n">
        <f aca="false">crudos!G235+crudos!H235</f>
        <v>0</v>
      </c>
      <c r="G235" s="1" t="n">
        <f aca="false">crudos!I235+crudos!J235</f>
        <v>2</v>
      </c>
      <c r="H235" s="2"/>
      <c r="I235" s="1"/>
      <c r="J235" s="1"/>
    </row>
    <row r="236" customFormat="false" ht="15" hidden="false" customHeight="false" outlineLevel="0" collapsed="false">
      <c r="A236" s="4" t="n">
        <v>39258</v>
      </c>
      <c r="B236" s="0" t="s">
        <v>21</v>
      </c>
      <c r="C236" s="1" t="n">
        <v>9</v>
      </c>
      <c r="D236" s="0" t="s">
        <v>18</v>
      </c>
      <c r="E236" s="1" t="n">
        <f aca="false">crudos!E236+crudos!F236</f>
        <v>5</v>
      </c>
      <c r="F236" s="1" t="n">
        <f aca="false">crudos!G236+crudos!H236</f>
        <v>0</v>
      </c>
      <c r="G236" s="1" t="n">
        <f aca="false">crudos!I236+crudos!J236</f>
        <v>0</v>
      </c>
      <c r="H236" s="2"/>
      <c r="I236" s="1"/>
      <c r="J236" s="1"/>
    </row>
    <row r="237" customFormat="false" ht="15" hidden="false" customHeight="false" outlineLevel="0" collapsed="false">
      <c r="A237" s="4" t="n">
        <v>39258</v>
      </c>
      <c r="B237" s="0" t="s">
        <v>21</v>
      </c>
      <c r="C237" s="1" t="n">
        <v>10</v>
      </c>
      <c r="D237" s="0" t="s">
        <v>13</v>
      </c>
      <c r="E237" s="1" t="n">
        <f aca="false">crudos!E237+crudos!F237</f>
        <v>15</v>
      </c>
      <c r="F237" s="1" t="n">
        <f aca="false">crudos!G237+crudos!H237</f>
        <v>0</v>
      </c>
      <c r="G237" s="1" t="n">
        <f aca="false">crudos!I237+crudos!J237</f>
        <v>0</v>
      </c>
      <c r="H237" s="2" t="n">
        <v>0</v>
      </c>
      <c r="I237" s="1"/>
      <c r="J237" s="1"/>
    </row>
    <row r="238" customFormat="false" ht="15" hidden="false" customHeight="false" outlineLevel="0" collapsed="false">
      <c r="A238" s="4" t="n">
        <v>39258</v>
      </c>
      <c r="B238" s="0" t="s">
        <v>21</v>
      </c>
      <c r="C238" s="1" t="n">
        <v>10</v>
      </c>
      <c r="D238" s="0" t="s">
        <v>14</v>
      </c>
      <c r="E238" s="1" t="n">
        <f aca="false">crudos!E238+crudos!F238</f>
        <v>1</v>
      </c>
      <c r="F238" s="1" t="n">
        <f aca="false">crudos!G238+crudos!H238</f>
        <v>2</v>
      </c>
      <c r="G238" s="1" t="n">
        <f aca="false">crudos!I238+crudos!J238</f>
        <v>0</v>
      </c>
      <c r="H238" s="2"/>
      <c r="I238" s="1"/>
      <c r="J238" s="1"/>
    </row>
    <row r="239" customFormat="false" ht="15" hidden="false" customHeight="false" outlineLevel="0" collapsed="false">
      <c r="A239" s="4" t="n">
        <v>39258</v>
      </c>
      <c r="B239" s="0" t="s">
        <v>21</v>
      </c>
      <c r="C239" s="1" t="n">
        <v>10</v>
      </c>
      <c r="D239" s="0" t="s">
        <v>15</v>
      </c>
      <c r="E239" s="1" t="n">
        <f aca="false">crudos!E239+crudos!F239</f>
        <v>0</v>
      </c>
      <c r="F239" s="1" t="n">
        <f aca="false">crudos!G239+crudos!H239</f>
        <v>0</v>
      </c>
      <c r="G239" s="1" t="n">
        <f aca="false">crudos!I239+crudos!J239</f>
        <v>0</v>
      </c>
      <c r="H239" s="2"/>
      <c r="I239" s="1"/>
      <c r="J239" s="1"/>
    </row>
    <row r="240" customFormat="false" ht="15" hidden="false" customHeight="false" outlineLevel="0" collapsed="false">
      <c r="A240" s="4" t="n">
        <v>39258</v>
      </c>
      <c r="B240" s="0" t="s">
        <v>21</v>
      </c>
      <c r="C240" s="1" t="n">
        <v>10</v>
      </c>
      <c r="D240" s="0" t="s">
        <v>16</v>
      </c>
      <c r="E240" s="1" t="n">
        <f aca="false">crudos!E240+crudos!F240</f>
        <v>0</v>
      </c>
      <c r="F240" s="1" t="n">
        <f aca="false">crudos!G240+crudos!H240</f>
        <v>0</v>
      </c>
      <c r="G240" s="1" t="n">
        <f aca="false">crudos!I240+crudos!J240</f>
        <v>0</v>
      </c>
      <c r="H240" s="2"/>
      <c r="I240" s="1"/>
      <c r="J240" s="1"/>
    </row>
    <row r="241" customFormat="false" ht="15" hidden="false" customHeight="false" outlineLevel="0" collapsed="false">
      <c r="A241" s="4" t="n">
        <v>39258</v>
      </c>
      <c r="B241" s="0" t="s">
        <v>21</v>
      </c>
      <c r="C241" s="1" t="n">
        <v>10</v>
      </c>
      <c r="D241" s="0" t="s">
        <v>17</v>
      </c>
      <c r="E241" s="1" t="n">
        <f aca="false">crudos!E241+crudos!F241</f>
        <v>0</v>
      </c>
      <c r="F241" s="1" t="n">
        <f aca="false">crudos!G241+crudos!H241</f>
        <v>0</v>
      </c>
      <c r="G241" s="1" t="n">
        <f aca="false">crudos!I241+crudos!J241</f>
        <v>0</v>
      </c>
      <c r="H241" s="2"/>
      <c r="I241" s="1"/>
      <c r="J241" s="1"/>
    </row>
    <row r="242" customFormat="false" ht="15" hidden="false" customHeight="false" outlineLevel="0" collapsed="false">
      <c r="A242" s="4" t="n">
        <v>39258</v>
      </c>
      <c r="B242" s="0" t="s">
        <v>21</v>
      </c>
      <c r="C242" s="1" t="n">
        <v>10</v>
      </c>
      <c r="D242" s="0" t="s">
        <v>18</v>
      </c>
      <c r="E242" s="1" t="n">
        <f aca="false">crudos!E242+crudos!F242</f>
        <v>0</v>
      </c>
      <c r="F242" s="1" t="n">
        <f aca="false">crudos!G242+crudos!H242</f>
        <v>0</v>
      </c>
      <c r="G242" s="1" t="n">
        <f aca="false">crudos!I242+crudos!J242</f>
        <v>0</v>
      </c>
      <c r="H242" s="2"/>
      <c r="I242" s="1"/>
      <c r="J242" s="1"/>
    </row>
    <row r="243" customFormat="false" ht="15" hidden="false" customHeight="false" outlineLevel="0" collapsed="false">
      <c r="A243" s="4" t="n">
        <v>39172</v>
      </c>
      <c r="B243" s="0" t="s">
        <v>22</v>
      </c>
      <c r="C243" s="1" t="n">
        <v>1</v>
      </c>
      <c r="D243" s="0" t="s">
        <v>13</v>
      </c>
      <c r="E243" s="1" t="n">
        <f aca="false">crudos!E243+crudos!F243</f>
        <v>13</v>
      </c>
      <c r="F243" s="1" t="n">
        <f aca="false">crudos!G243+crudos!H243</f>
        <v>0</v>
      </c>
      <c r="G243" s="1" t="n">
        <f aca="false">crudos!I243+crudos!J243</f>
        <v>0</v>
      </c>
      <c r="H243" s="2" t="n">
        <v>0</v>
      </c>
      <c r="I243" s="1"/>
      <c r="J243" s="1"/>
    </row>
    <row r="244" customFormat="false" ht="15" hidden="false" customHeight="false" outlineLevel="0" collapsed="false">
      <c r="A244" s="4" t="n">
        <v>39172</v>
      </c>
      <c r="B244" s="0" t="s">
        <v>22</v>
      </c>
      <c r="C244" s="1" t="n">
        <v>1</v>
      </c>
      <c r="D244" s="0" t="s">
        <v>14</v>
      </c>
      <c r="E244" s="1" t="n">
        <f aca="false">crudos!E244+crudos!F244</f>
        <v>3</v>
      </c>
      <c r="F244" s="1" t="n">
        <f aca="false">crudos!G244+crudos!H244</f>
        <v>0</v>
      </c>
      <c r="G244" s="1" t="n">
        <f aca="false">crudos!I244+crudos!J244</f>
        <v>0</v>
      </c>
      <c r="H244" s="2"/>
      <c r="I244" s="1"/>
      <c r="J244" s="1"/>
    </row>
    <row r="245" customFormat="false" ht="15" hidden="false" customHeight="false" outlineLevel="0" collapsed="false">
      <c r="A245" s="4" t="n">
        <v>39172</v>
      </c>
      <c r="B245" s="0" t="s">
        <v>22</v>
      </c>
      <c r="C245" s="1" t="n">
        <v>1</v>
      </c>
      <c r="D245" s="0" t="s">
        <v>15</v>
      </c>
      <c r="E245" s="1" t="n">
        <f aca="false">crudos!E245+crudos!F245</f>
        <v>0</v>
      </c>
      <c r="F245" s="1" t="n">
        <f aca="false">crudos!G245+crudos!H245</f>
        <v>1</v>
      </c>
      <c r="G245" s="1" t="n">
        <f aca="false">crudos!I245+crudos!J245</f>
        <v>0</v>
      </c>
      <c r="H245" s="2"/>
      <c r="I245" s="1"/>
      <c r="J245" s="1"/>
    </row>
    <row r="246" customFormat="false" ht="15" hidden="false" customHeight="false" outlineLevel="0" collapsed="false">
      <c r="A246" s="4" t="n">
        <v>39172</v>
      </c>
      <c r="B246" s="0" t="s">
        <v>22</v>
      </c>
      <c r="C246" s="1" t="n">
        <v>1</v>
      </c>
      <c r="D246" s="0" t="s">
        <v>16</v>
      </c>
      <c r="E246" s="1" t="n">
        <f aca="false">crudos!E246+crudos!F246</f>
        <v>2</v>
      </c>
      <c r="F246" s="1" t="n">
        <f aca="false">crudos!G246+crudos!H246</f>
        <v>0</v>
      </c>
      <c r="G246" s="1" t="n">
        <f aca="false">crudos!I246+crudos!J246</f>
        <v>0</v>
      </c>
      <c r="H246" s="2"/>
      <c r="I246" s="1"/>
      <c r="J246" s="1"/>
    </row>
    <row r="247" customFormat="false" ht="15" hidden="false" customHeight="false" outlineLevel="0" collapsed="false">
      <c r="A247" s="4" t="n">
        <v>39172</v>
      </c>
      <c r="B247" s="0" t="s">
        <v>22</v>
      </c>
      <c r="C247" s="1" t="n">
        <v>1</v>
      </c>
      <c r="D247" s="0" t="s">
        <v>17</v>
      </c>
      <c r="E247" s="1" t="n">
        <f aca="false">crudos!E247+crudos!F247</f>
        <v>7</v>
      </c>
      <c r="F247" s="1" t="n">
        <f aca="false">crudos!G247+crudos!H247</f>
        <v>3</v>
      </c>
      <c r="G247" s="1" t="n">
        <f aca="false">crudos!I247+crudos!J247</f>
        <v>0</v>
      </c>
      <c r="H247" s="2"/>
      <c r="I247" s="1"/>
      <c r="J247" s="1"/>
    </row>
    <row r="248" customFormat="false" ht="15" hidden="false" customHeight="false" outlineLevel="0" collapsed="false">
      <c r="A248" s="4" t="n">
        <v>39172</v>
      </c>
      <c r="B248" s="0" t="s">
        <v>22</v>
      </c>
      <c r="C248" s="1" t="n">
        <v>1</v>
      </c>
      <c r="D248" s="0" t="s">
        <v>18</v>
      </c>
      <c r="E248" s="1" t="n">
        <f aca="false">crudos!E248+crudos!F248</f>
        <v>4</v>
      </c>
      <c r="F248" s="1" t="n">
        <f aca="false">crudos!G248+crudos!H248</f>
        <v>0</v>
      </c>
      <c r="G248" s="1" t="n">
        <f aca="false">crudos!I248+crudos!J248</f>
        <v>0</v>
      </c>
      <c r="H248" s="2"/>
      <c r="I248" s="1"/>
      <c r="J248" s="1"/>
    </row>
    <row r="249" customFormat="false" ht="15" hidden="false" customHeight="false" outlineLevel="0" collapsed="false">
      <c r="A249" s="4" t="n">
        <v>39172</v>
      </c>
      <c r="B249" s="0" t="s">
        <v>22</v>
      </c>
      <c r="C249" s="1" t="n">
        <v>2</v>
      </c>
      <c r="D249" s="0" t="s">
        <v>13</v>
      </c>
      <c r="E249" s="1" t="n">
        <f aca="false">crudos!E249+crudos!F249</f>
        <v>5</v>
      </c>
      <c r="F249" s="1" t="n">
        <f aca="false">crudos!G249+crudos!H249</f>
        <v>0</v>
      </c>
      <c r="G249" s="1" t="n">
        <f aca="false">crudos!I249+crudos!J249</f>
        <v>0</v>
      </c>
      <c r="H249" s="2" t="n">
        <v>2</v>
      </c>
      <c r="I249" s="1"/>
      <c r="J249" s="1"/>
    </row>
    <row r="250" customFormat="false" ht="15" hidden="false" customHeight="false" outlineLevel="0" collapsed="false">
      <c r="A250" s="4" t="n">
        <v>39172</v>
      </c>
      <c r="B250" s="0" t="s">
        <v>22</v>
      </c>
      <c r="C250" s="1" t="n">
        <v>2</v>
      </c>
      <c r="D250" s="0" t="s">
        <v>14</v>
      </c>
      <c r="E250" s="1" t="n">
        <f aca="false">crudos!E250+crudos!F250</f>
        <v>6</v>
      </c>
      <c r="F250" s="1" t="n">
        <f aca="false">crudos!G250+crudos!H250</f>
        <v>0</v>
      </c>
      <c r="G250" s="1" t="n">
        <f aca="false">crudos!I250+crudos!J250</f>
        <v>0</v>
      </c>
      <c r="H250" s="2"/>
      <c r="I250" s="1"/>
      <c r="J250" s="1"/>
    </row>
    <row r="251" customFormat="false" ht="15" hidden="false" customHeight="false" outlineLevel="0" collapsed="false">
      <c r="A251" s="4" t="n">
        <v>39172</v>
      </c>
      <c r="B251" s="0" t="s">
        <v>22</v>
      </c>
      <c r="C251" s="1" t="n">
        <v>2</v>
      </c>
      <c r="D251" s="0" t="s">
        <v>15</v>
      </c>
      <c r="E251" s="1" t="n">
        <f aca="false">crudos!E251+crudos!F251</f>
        <v>1</v>
      </c>
      <c r="F251" s="1" t="n">
        <f aca="false">crudos!G251+crudos!H251</f>
        <v>1</v>
      </c>
      <c r="G251" s="1" t="n">
        <f aca="false">crudos!I251+crudos!J251</f>
        <v>0</v>
      </c>
      <c r="H251" s="2"/>
      <c r="I251" s="1"/>
      <c r="J251" s="1"/>
    </row>
    <row r="252" customFormat="false" ht="15" hidden="false" customHeight="false" outlineLevel="0" collapsed="false">
      <c r="A252" s="4" t="n">
        <v>39172</v>
      </c>
      <c r="B252" s="0" t="s">
        <v>22</v>
      </c>
      <c r="C252" s="1" t="n">
        <v>2</v>
      </c>
      <c r="D252" s="0" t="s">
        <v>16</v>
      </c>
      <c r="E252" s="1" t="n">
        <f aca="false">crudos!E252+crudos!F252</f>
        <v>4</v>
      </c>
      <c r="F252" s="1" t="n">
        <f aca="false">crudos!G252+crudos!H252</f>
        <v>0</v>
      </c>
      <c r="G252" s="1" t="n">
        <f aca="false">crudos!I252+crudos!J252</f>
        <v>2</v>
      </c>
      <c r="H252" s="2"/>
      <c r="I252" s="1"/>
      <c r="J252" s="1"/>
    </row>
    <row r="253" customFormat="false" ht="15" hidden="false" customHeight="false" outlineLevel="0" collapsed="false">
      <c r="A253" s="4" t="n">
        <v>39172</v>
      </c>
      <c r="B253" s="0" t="s">
        <v>22</v>
      </c>
      <c r="C253" s="1" t="n">
        <v>2</v>
      </c>
      <c r="D253" s="0" t="s">
        <v>17</v>
      </c>
      <c r="E253" s="1" t="n">
        <f aca="false">crudos!E253+crudos!F253</f>
        <v>1</v>
      </c>
      <c r="F253" s="1" t="n">
        <f aca="false">crudos!G253+crudos!H253</f>
        <v>7</v>
      </c>
      <c r="G253" s="1" t="n">
        <f aca="false">crudos!I253+crudos!J253</f>
        <v>2</v>
      </c>
      <c r="H253" s="2"/>
      <c r="I253" s="1"/>
      <c r="J253" s="1"/>
    </row>
    <row r="254" customFormat="false" ht="15" hidden="false" customHeight="false" outlineLevel="0" collapsed="false">
      <c r="A254" s="4" t="n">
        <v>39172</v>
      </c>
      <c r="B254" s="0" t="s">
        <v>22</v>
      </c>
      <c r="C254" s="1" t="n">
        <v>2</v>
      </c>
      <c r="D254" s="0" t="s">
        <v>18</v>
      </c>
      <c r="E254" s="1" t="n">
        <f aca="false">crudos!E254+crudos!F254</f>
        <v>0</v>
      </c>
      <c r="F254" s="1" t="n">
        <f aca="false">crudos!G254+crudos!H254</f>
        <v>0</v>
      </c>
      <c r="G254" s="1" t="n">
        <f aca="false">crudos!I254+crudos!J254</f>
        <v>0</v>
      </c>
      <c r="H254" s="2"/>
      <c r="I254" s="1"/>
      <c r="J254" s="1"/>
    </row>
    <row r="255" customFormat="false" ht="15" hidden="false" customHeight="false" outlineLevel="0" collapsed="false">
      <c r="A255" s="4" t="n">
        <v>39173</v>
      </c>
      <c r="B255" s="0" t="s">
        <v>22</v>
      </c>
      <c r="C255" s="1" t="n">
        <v>3</v>
      </c>
      <c r="D255" s="0" t="s">
        <v>13</v>
      </c>
      <c r="E255" s="1" t="n">
        <f aca="false">crudos!E255+crudos!F255</f>
        <v>12</v>
      </c>
      <c r="F255" s="1" t="n">
        <f aca="false">crudos!G255+crudos!H255</f>
        <v>0</v>
      </c>
      <c r="G255" s="1" t="n">
        <f aca="false">crudos!I255+crudos!J255</f>
        <v>0</v>
      </c>
      <c r="H255" s="2" t="n">
        <v>0</v>
      </c>
      <c r="I255" s="1"/>
      <c r="J255" s="1"/>
    </row>
    <row r="256" customFormat="false" ht="15" hidden="false" customHeight="false" outlineLevel="0" collapsed="false">
      <c r="A256" s="4" t="n">
        <v>39173</v>
      </c>
      <c r="B256" s="0" t="s">
        <v>22</v>
      </c>
      <c r="C256" s="1" t="n">
        <v>3</v>
      </c>
      <c r="D256" s="0" t="s">
        <v>14</v>
      </c>
      <c r="E256" s="1" t="n">
        <f aca="false">crudos!E256+crudos!F256</f>
        <v>11</v>
      </c>
      <c r="F256" s="1" t="n">
        <f aca="false">crudos!G256+crudos!H256</f>
        <v>0</v>
      </c>
      <c r="G256" s="1" t="n">
        <f aca="false">crudos!I256+crudos!J256</f>
        <v>0</v>
      </c>
      <c r="H256" s="2"/>
      <c r="I256" s="1"/>
      <c r="J256" s="1"/>
    </row>
    <row r="257" customFormat="false" ht="15" hidden="false" customHeight="false" outlineLevel="0" collapsed="false">
      <c r="A257" s="4" t="n">
        <v>39173</v>
      </c>
      <c r="B257" s="0" t="s">
        <v>22</v>
      </c>
      <c r="C257" s="1" t="n">
        <v>3</v>
      </c>
      <c r="D257" s="0" t="s">
        <v>15</v>
      </c>
      <c r="E257" s="1" t="n">
        <f aca="false">crudos!E257+crudos!F257</f>
        <v>0</v>
      </c>
      <c r="F257" s="1" t="n">
        <f aca="false">crudos!G257+crudos!H257</f>
        <v>0</v>
      </c>
      <c r="G257" s="1" t="n">
        <f aca="false">crudos!I257+crudos!J257</f>
        <v>0</v>
      </c>
      <c r="H257" s="2"/>
      <c r="I257" s="1"/>
      <c r="J257" s="1"/>
    </row>
    <row r="258" customFormat="false" ht="15" hidden="false" customHeight="false" outlineLevel="0" collapsed="false">
      <c r="A258" s="4" t="n">
        <v>39173</v>
      </c>
      <c r="B258" s="0" t="s">
        <v>22</v>
      </c>
      <c r="C258" s="1" t="n">
        <v>3</v>
      </c>
      <c r="D258" s="0" t="s">
        <v>16</v>
      </c>
      <c r="E258" s="1" t="n">
        <f aca="false">crudos!E258+crudos!F258</f>
        <v>1</v>
      </c>
      <c r="F258" s="1" t="n">
        <f aca="false">crudos!G258+crudos!H258</f>
        <v>0</v>
      </c>
      <c r="G258" s="1" t="n">
        <f aca="false">crudos!I258+crudos!J258</f>
        <v>4</v>
      </c>
      <c r="H258" s="2"/>
      <c r="I258" s="1"/>
      <c r="J258" s="1"/>
    </row>
    <row r="259" customFormat="false" ht="15" hidden="false" customHeight="false" outlineLevel="0" collapsed="false">
      <c r="A259" s="4" t="n">
        <v>39173</v>
      </c>
      <c r="B259" s="0" t="s">
        <v>22</v>
      </c>
      <c r="C259" s="1" t="n">
        <v>3</v>
      </c>
      <c r="D259" s="0" t="s">
        <v>17</v>
      </c>
      <c r="E259" s="1" t="n">
        <f aca="false">crudos!E259+crudos!F259</f>
        <v>4</v>
      </c>
      <c r="F259" s="1" t="n">
        <f aca="false">crudos!G259+crudos!H259</f>
        <v>7</v>
      </c>
      <c r="G259" s="1" t="n">
        <f aca="false">crudos!I259+crudos!J259</f>
        <v>5</v>
      </c>
      <c r="H259" s="2"/>
      <c r="I259" s="1"/>
      <c r="J259" s="1"/>
    </row>
    <row r="260" customFormat="false" ht="15" hidden="false" customHeight="false" outlineLevel="0" collapsed="false">
      <c r="A260" s="4" t="n">
        <v>39173</v>
      </c>
      <c r="B260" s="0" t="s">
        <v>22</v>
      </c>
      <c r="C260" s="1" t="n">
        <v>3</v>
      </c>
      <c r="D260" s="0" t="s">
        <v>18</v>
      </c>
      <c r="E260" s="1" t="n">
        <f aca="false">crudos!E260+crudos!F260</f>
        <v>0</v>
      </c>
      <c r="F260" s="1" t="n">
        <f aca="false">crudos!G260+crudos!H260</f>
        <v>0</v>
      </c>
      <c r="G260" s="1" t="n">
        <f aca="false">crudos!I260+crudos!J260</f>
        <v>0</v>
      </c>
      <c r="H260" s="2"/>
      <c r="I260" s="1"/>
      <c r="J260" s="1"/>
    </row>
    <row r="261" customFormat="false" ht="15" hidden="false" customHeight="false" outlineLevel="0" collapsed="false">
      <c r="A261" s="4" t="n">
        <v>39173</v>
      </c>
      <c r="B261" s="0" t="s">
        <v>22</v>
      </c>
      <c r="C261" s="1" t="n">
        <v>4</v>
      </c>
      <c r="D261" s="0" t="s">
        <v>13</v>
      </c>
      <c r="E261" s="1" t="n">
        <f aca="false">crudos!E261+crudos!F261</f>
        <v>13</v>
      </c>
      <c r="F261" s="1" t="n">
        <f aca="false">crudos!G261+crudos!H261</f>
        <v>0</v>
      </c>
      <c r="G261" s="1" t="n">
        <f aca="false">crudos!I261+crudos!J261</f>
        <v>0</v>
      </c>
      <c r="H261" s="2" t="n">
        <v>0</v>
      </c>
      <c r="I261" s="1"/>
      <c r="J261" s="1"/>
    </row>
    <row r="262" customFormat="false" ht="15" hidden="false" customHeight="false" outlineLevel="0" collapsed="false">
      <c r="A262" s="4" t="n">
        <v>39173</v>
      </c>
      <c r="B262" s="0" t="s">
        <v>22</v>
      </c>
      <c r="C262" s="1" t="n">
        <v>4</v>
      </c>
      <c r="D262" s="0" t="s">
        <v>14</v>
      </c>
      <c r="E262" s="1" t="n">
        <f aca="false">crudos!E262+crudos!F262</f>
        <v>6</v>
      </c>
      <c r="F262" s="1" t="n">
        <f aca="false">crudos!G262+crudos!H262</f>
        <v>0</v>
      </c>
      <c r="G262" s="1" t="n">
        <f aca="false">crudos!I262+crudos!J262</f>
        <v>0</v>
      </c>
      <c r="H262" s="2"/>
      <c r="I262" s="1"/>
      <c r="J262" s="1"/>
    </row>
    <row r="263" customFormat="false" ht="15" hidden="false" customHeight="false" outlineLevel="0" collapsed="false">
      <c r="A263" s="4" t="n">
        <v>39173</v>
      </c>
      <c r="B263" s="0" t="s">
        <v>22</v>
      </c>
      <c r="C263" s="1" t="n">
        <v>4</v>
      </c>
      <c r="D263" s="0" t="s">
        <v>15</v>
      </c>
      <c r="E263" s="1" t="n">
        <f aca="false">crudos!E263+crudos!F263</f>
        <v>3</v>
      </c>
      <c r="F263" s="1" t="n">
        <f aca="false">crudos!G263+crudos!H263</f>
        <v>1</v>
      </c>
      <c r="G263" s="1" t="n">
        <f aca="false">crudos!I263+crudos!J263</f>
        <v>0</v>
      </c>
      <c r="H263" s="2"/>
      <c r="I263" s="1"/>
      <c r="J263" s="1"/>
    </row>
    <row r="264" customFormat="false" ht="15" hidden="false" customHeight="false" outlineLevel="0" collapsed="false">
      <c r="A264" s="4" t="n">
        <v>39173</v>
      </c>
      <c r="B264" s="0" t="s">
        <v>22</v>
      </c>
      <c r="C264" s="1" t="n">
        <v>4</v>
      </c>
      <c r="D264" s="0" t="s">
        <v>16</v>
      </c>
      <c r="E264" s="1" t="n">
        <f aca="false">crudos!E264+crudos!F264</f>
        <v>1</v>
      </c>
      <c r="F264" s="1" t="n">
        <f aca="false">crudos!G264+crudos!H264</f>
        <v>0</v>
      </c>
      <c r="G264" s="1" t="n">
        <f aca="false">crudos!I264+crudos!J264</f>
        <v>0</v>
      </c>
      <c r="H264" s="2"/>
      <c r="I264" s="1"/>
      <c r="J264" s="1"/>
    </row>
    <row r="265" customFormat="false" ht="15" hidden="false" customHeight="false" outlineLevel="0" collapsed="false">
      <c r="A265" s="4" t="n">
        <v>39173</v>
      </c>
      <c r="B265" s="0" t="s">
        <v>22</v>
      </c>
      <c r="C265" s="1" t="n">
        <v>4</v>
      </c>
      <c r="D265" s="0" t="s">
        <v>17</v>
      </c>
      <c r="E265" s="1" t="n">
        <f aca="false">crudos!E265+crudos!F265</f>
        <v>2</v>
      </c>
      <c r="F265" s="1" t="n">
        <f aca="false">crudos!G265+crudos!H265</f>
        <v>1</v>
      </c>
      <c r="G265" s="1" t="n">
        <f aca="false">crudos!I265+crudos!J265</f>
        <v>1</v>
      </c>
      <c r="H265" s="2"/>
      <c r="I265" s="1"/>
      <c r="J265" s="1"/>
    </row>
    <row r="266" customFormat="false" ht="15" hidden="false" customHeight="false" outlineLevel="0" collapsed="false">
      <c r="A266" s="4" t="n">
        <v>39173</v>
      </c>
      <c r="B266" s="0" t="s">
        <v>22</v>
      </c>
      <c r="C266" s="1" t="n">
        <v>4</v>
      </c>
      <c r="D266" s="0" t="s">
        <v>18</v>
      </c>
      <c r="E266" s="1" t="n">
        <f aca="false">crudos!E266+crudos!F266</f>
        <v>3</v>
      </c>
      <c r="F266" s="1" t="n">
        <f aca="false">crudos!G266+crudos!H266</f>
        <v>0</v>
      </c>
      <c r="G266" s="1" t="n">
        <f aca="false">crudos!I266+crudos!J266</f>
        <v>0</v>
      </c>
      <c r="H266" s="2"/>
      <c r="I266" s="1"/>
      <c r="J266" s="1"/>
    </row>
    <row r="267" customFormat="false" ht="15" hidden="false" customHeight="false" outlineLevel="0" collapsed="false">
      <c r="A267" s="4" t="n">
        <v>39173</v>
      </c>
      <c r="B267" s="0" t="s">
        <v>22</v>
      </c>
      <c r="C267" s="1" t="n">
        <v>5</v>
      </c>
      <c r="D267" s="0" t="s">
        <v>13</v>
      </c>
      <c r="E267" s="1" t="n">
        <f aca="false">crudos!E267+crudos!F267</f>
        <v>16</v>
      </c>
      <c r="F267" s="1" t="n">
        <f aca="false">crudos!G267+crudos!H267</f>
        <v>0</v>
      </c>
      <c r="G267" s="1" t="n">
        <f aca="false">crudos!I267+crudos!J267</f>
        <v>0</v>
      </c>
      <c r="H267" s="2" t="n">
        <v>0</v>
      </c>
      <c r="I267" s="1"/>
      <c r="J267" s="1"/>
    </row>
    <row r="268" customFormat="false" ht="15" hidden="false" customHeight="false" outlineLevel="0" collapsed="false">
      <c r="A268" s="4" t="n">
        <v>39173</v>
      </c>
      <c r="B268" s="0" t="s">
        <v>22</v>
      </c>
      <c r="C268" s="1" t="n">
        <v>5</v>
      </c>
      <c r="D268" s="0" t="s">
        <v>14</v>
      </c>
      <c r="E268" s="1" t="n">
        <f aca="false">crudos!E268+crudos!F268</f>
        <v>9</v>
      </c>
      <c r="F268" s="1" t="n">
        <f aca="false">crudos!G268+crudos!H268</f>
        <v>0</v>
      </c>
      <c r="G268" s="1" t="n">
        <f aca="false">crudos!I268+crudos!J268</f>
        <v>0</v>
      </c>
      <c r="H268" s="2"/>
      <c r="I268" s="1"/>
      <c r="J268" s="1"/>
    </row>
    <row r="269" customFormat="false" ht="15" hidden="false" customHeight="false" outlineLevel="0" collapsed="false">
      <c r="A269" s="4" t="n">
        <v>39173</v>
      </c>
      <c r="B269" s="0" t="s">
        <v>22</v>
      </c>
      <c r="C269" s="1" t="n">
        <v>5</v>
      </c>
      <c r="D269" s="0" t="s">
        <v>15</v>
      </c>
      <c r="E269" s="1" t="n">
        <f aca="false">crudos!E269+crudos!F269</f>
        <v>0</v>
      </c>
      <c r="F269" s="1" t="n">
        <f aca="false">crudos!G269+crudos!H269</f>
        <v>1</v>
      </c>
      <c r="G269" s="1" t="n">
        <f aca="false">crudos!I269+crudos!J269</f>
        <v>0</v>
      </c>
      <c r="H269" s="2"/>
      <c r="I269" s="1"/>
      <c r="J269" s="1"/>
    </row>
    <row r="270" customFormat="false" ht="15" hidden="false" customHeight="false" outlineLevel="0" collapsed="false">
      <c r="A270" s="4" t="n">
        <v>39173</v>
      </c>
      <c r="B270" s="0" t="s">
        <v>22</v>
      </c>
      <c r="C270" s="1" t="n">
        <v>5</v>
      </c>
      <c r="D270" s="0" t="s">
        <v>16</v>
      </c>
      <c r="E270" s="1" t="n">
        <f aca="false">crudos!E270+crudos!F270</f>
        <v>0</v>
      </c>
      <c r="F270" s="1" t="n">
        <f aca="false">crudos!G270+crudos!H270</f>
        <v>0</v>
      </c>
      <c r="G270" s="1" t="n">
        <f aca="false">crudos!I270+crudos!J270</f>
        <v>0</v>
      </c>
      <c r="H270" s="2"/>
      <c r="I270" s="1"/>
      <c r="J270" s="1"/>
    </row>
    <row r="271" customFormat="false" ht="15" hidden="false" customHeight="false" outlineLevel="0" collapsed="false">
      <c r="A271" s="4" t="n">
        <v>39173</v>
      </c>
      <c r="B271" s="0" t="s">
        <v>22</v>
      </c>
      <c r="C271" s="1" t="n">
        <v>5</v>
      </c>
      <c r="D271" s="0" t="s">
        <v>17</v>
      </c>
      <c r="E271" s="1" t="n">
        <f aca="false">crudos!E271+crudos!F271</f>
        <v>1</v>
      </c>
      <c r="F271" s="1" t="n">
        <f aca="false">crudos!G271+crudos!H271</f>
        <v>3</v>
      </c>
      <c r="G271" s="1" t="n">
        <f aca="false">crudos!I271+crudos!J271</f>
        <v>2</v>
      </c>
      <c r="H271" s="2"/>
      <c r="I271" s="1"/>
      <c r="J271" s="1"/>
    </row>
    <row r="272" customFormat="false" ht="15" hidden="false" customHeight="false" outlineLevel="0" collapsed="false">
      <c r="A272" s="4" t="n">
        <v>39173</v>
      </c>
      <c r="B272" s="0" t="s">
        <v>22</v>
      </c>
      <c r="C272" s="1" t="n">
        <v>5</v>
      </c>
      <c r="D272" s="0" t="s">
        <v>18</v>
      </c>
      <c r="E272" s="1" t="n">
        <f aca="false">crudos!E272+crudos!F272</f>
        <v>0</v>
      </c>
      <c r="F272" s="1" t="n">
        <f aca="false">crudos!G272+crudos!H272</f>
        <v>0</v>
      </c>
      <c r="G272" s="1" t="n">
        <f aca="false">crudos!I272+crudos!J272</f>
        <v>0</v>
      </c>
      <c r="H272" s="2"/>
      <c r="I272" s="1"/>
      <c r="J272" s="1"/>
    </row>
    <row r="273" customFormat="false" ht="15" hidden="false" customHeight="false" outlineLevel="0" collapsed="false">
      <c r="A273" s="4" t="n">
        <v>39174</v>
      </c>
      <c r="B273" s="0" t="s">
        <v>22</v>
      </c>
      <c r="C273" s="1" t="n">
        <v>6</v>
      </c>
      <c r="D273" s="0" t="s">
        <v>13</v>
      </c>
      <c r="E273" s="1" t="n">
        <f aca="false">crudos!E273+crudos!F273</f>
        <v>1</v>
      </c>
      <c r="F273" s="1" t="n">
        <f aca="false">crudos!G273+crudos!H273</f>
        <v>0</v>
      </c>
      <c r="G273" s="1" t="n">
        <f aca="false">crudos!I273+crudos!J273</f>
        <v>0</v>
      </c>
      <c r="H273" s="2" t="n">
        <v>0</v>
      </c>
      <c r="I273" s="1"/>
      <c r="J273" s="1"/>
    </row>
    <row r="274" customFormat="false" ht="15" hidden="false" customHeight="false" outlineLevel="0" collapsed="false">
      <c r="A274" s="4" t="n">
        <v>39174</v>
      </c>
      <c r="B274" s="0" t="s">
        <v>22</v>
      </c>
      <c r="C274" s="1" t="n">
        <v>6</v>
      </c>
      <c r="D274" s="0" t="s">
        <v>14</v>
      </c>
      <c r="E274" s="1" t="n">
        <f aca="false">crudos!E274+crudos!F274</f>
        <v>6</v>
      </c>
      <c r="F274" s="1" t="n">
        <f aca="false">crudos!G274+crudos!H274</f>
        <v>0</v>
      </c>
      <c r="G274" s="1" t="n">
        <f aca="false">crudos!I274+crudos!J274</f>
        <v>0</v>
      </c>
      <c r="H274" s="2"/>
      <c r="I274" s="1"/>
      <c r="J274" s="1"/>
    </row>
    <row r="275" customFormat="false" ht="15" hidden="false" customHeight="false" outlineLevel="0" collapsed="false">
      <c r="A275" s="4" t="n">
        <v>39174</v>
      </c>
      <c r="B275" s="0" t="s">
        <v>22</v>
      </c>
      <c r="C275" s="1" t="n">
        <v>6</v>
      </c>
      <c r="D275" s="0" t="s">
        <v>15</v>
      </c>
      <c r="E275" s="1" t="n">
        <f aca="false">crudos!E275+crudos!F275</f>
        <v>0</v>
      </c>
      <c r="F275" s="1" t="n">
        <f aca="false">crudos!G275+crudos!H275</f>
        <v>0</v>
      </c>
      <c r="G275" s="1" t="n">
        <f aca="false">crudos!I275+crudos!J275</f>
        <v>0</v>
      </c>
      <c r="H275" s="2"/>
      <c r="I275" s="1"/>
      <c r="J275" s="1"/>
    </row>
    <row r="276" customFormat="false" ht="15" hidden="false" customHeight="false" outlineLevel="0" collapsed="false">
      <c r="A276" s="4" t="n">
        <v>39174</v>
      </c>
      <c r="B276" s="0" t="s">
        <v>22</v>
      </c>
      <c r="C276" s="1" t="n">
        <v>6</v>
      </c>
      <c r="D276" s="0" t="s">
        <v>16</v>
      </c>
      <c r="E276" s="1" t="n">
        <f aca="false">crudos!E276+crudos!F276</f>
        <v>4</v>
      </c>
      <c r="F276" s="1" t="n">
        <f aca="false">crudos!G276+crudos!H276</f>
        <v>15</v>
      </c>
      <c r="G276" s="1" t="n">
        <f aca="false">crudos!I276+crudos!J276</f>
        <v>4</v>
      </c>
      <c r="H276" s="2"/>
      <c r="I276" s="1"/>
      <c r="J276" s="1"/>
    </row>
    <row r="277" customFormat="false" ht="15" hidden="false" customHeight="false" outlineLevel="0" collapsed="false">
      <c r="A277" s="4" t="n">
        <v>39174</v>
      </c>
      <c r="B277" s="0" t="s">
        <v>22</v>
      </c>
      <c r="C277" s="1" t="n">
        <v>6</v>
      </c>
      <c r="D277" s="0" t="s">
        <v>17</v>
      </c>
      <c r="E277" s="1" t="n">
        <f aca="false">crudos!E277+crudos!F277</f>
        <v>0</v>
      </c>
      <c r="F277" s="1" t="n">
        <f aca="false">crudos!G277+crudos!H277</f>
        <v>4</v>
      </c>
      <c r="G277" s="1" t="n">
        <f aca="false">crudos!I277+crudos!J277</f>
        <v>5</v>
      </c>
      <c r="H277" s="2"/>
      <c r="I277" s="1"/>
      <c r="J277" s="1"/>
    </row>
    <row r="278" customFormat="false" ht="15" hidden="false" customHeight="false" outlineLevel="0" collapsed="false">
      <c r="A278" s="4" t="n">
        <v>39174</v>
      </c>
      <c r="B278" s="0" t="s">
        <v>22</v>
      </c>
      <c r="C278" s="1" t="n">
        <v>6</v>
      </c>
      <c r="D278" s="0" t="s">
        <v>18</v>
      </c>
      <c r="E278" s="1" t="n">
        <f aca="false">crudos!E278+crudos!F278</f>
        <v>0</v>
      </c>
      <c r="F278" s="1" t="n">
        <f aca="false">crudos!G278+crudos!H278</f>
        <v>0</v>
      </c>
      <c r="G278" s="1" t="n">
        <f aca="false">crudos!I278+crudos!J278</f>
        <v>0</v>
      </c>
      <c r="H278" s="2"/>
      <c r="I278" s="1"/>
      <c r="J278" s="1"/>
    </row>
    <row r="279" customFormat="false" ht="15" hidden="false" customHeight="false" outlineLevel="0" collapsed="false">
      <c r="A279" s="4" t="n">
        <v>39174</v>
      </c>
      <c r="B279" s="0" t="s">
        <v>22</v>
      </c>
      <c r="C279" s="1" t="n">
        <v>7</v>
      </c>
      <c r="D279" s="0" t="s">
        <v>13</v>
      </c>
      <c r="E279" s="1" t="n">
        <f aca="false">crudos!E279+crudos!F279</f>
        <v>17</v>
      </c>
      <c r="F279" s="1" t="n">
        <f aca="false">crudos!G279+crudos!H279</f>
        <v>3</v>
      </c>
      <c r="G279" s="1" t="n">
        <f aca="false">crudos!I279+crudos!J279</f>
        <v>0</v>
      </c>
      <c r="H279" s="2" t="n">
        <v>2</v>
      </c>
      <c r="I279" s="1"/>
      <c r="J279" s="1"/>
    </row>
    <row r="280" customFormat="false" ht="15" hidden="false" customHeight="false" outlineLevel="0" collapsed="false">
      <c r="A280" s="4" t="n">
        <v>39174</v>
      </c>
      <c r="B280" s="0" t="s">
        <v>22</v>
      </c>
      <c r="C280" s="1" t="n">
        <v>7</v>
      </c>
      <c r="D280" s="0" t="s">
        <v>14</v>
      </c>
      <c r="E280" s="1" t="n">
        <f aca="false">crudos!E280+crudos!F280</f>
        <v>12</v>
      </c>
      <c r="F280" s="1" t="n">
        <f aca="false">crudos!G280+crudos!H280</f>
        <v>0</v>
      </c>
      <c r="G280" s="1" t="n">
        <f aca="false">crudos!I280+crudos!J280</f>
        <v>0</v>
      </c>
      <c r="H280" s="2"/>
      <c r="I280" s="1"/>
      <c r="J280" s="1"/>
    </row>
    <row r="281" customFormat="false" ht="15" hidden="false" customHeight="false" outlineLevel="0" collapsed="false">
      <c r="A281" s="4" t="n">
        <v>39174</v>
      </c>
      <c r="B281" s="0" t="s">
        <v>22</v>
      </c>
      <c r="C281" s="1" t="n">
        <v>7</v>
      </c>
      <c r="D281" s="0" t="s">
        <v>15</v>
      </c>
      <c r="E281" s="1" t="n">
        <f aca="false">crudos!E281+crudos!F281</f>
        <v>0</v>
      </c>
      <c r="F281" s="1" t="n">
        <f aca="false">crudos!G281+crudos!H281</f>
        <v>0</v>
      </c>
      <c r="G281" s="1" t="n">
        <f aca="false">crudos!I281+crudos!J281</f>
        <v>0</v>
      </c>
      <c r="H281" s="2"/>
      <c r="I281" s="1"/>
      <c r="J281" s="1"/>
    </row>
    <row r="282" customFormat="false" ht="15" hidden="false" customHeight="false" outlineLevel="0" collapsed="false">
      <c r="A282" s="4" t="n">
        <v>39174</v>
      </c>
      <c r="B282" s="0" t="s">
        <v>22</v>
      </c>
      <c r="C282" s="1" t="n">
        <v>7</v>
      </c>
      <c r="D282" s="0" t="s">
        <v>16</v>
      </c>
      <c r="E282" s="1" t="n">
        <f aca="false">crudos!E282+crudos!F282</f>
        <v>0</v>
      </c>
      <c r="F282" s="1" t="n">
        <f aca="false">crudos!G282+crudos!H282</f>
        <v>0</v>
      </c>
      <c r="G282" s="1" t="n">
        <f aca="false">crudos!I282+crudos!J282</f>
        <v>0</v>
      </c>
      <c r="H282" s="2"/>
      <c r="I282" s="1"/>
      <c r="J282" s="1"/>
    </row>
    <row r="283" customFormat="false" ht="15" hidden="false" customHeight="false" outlineLevel="0" collapsed="false">
      <c r="A283" s="4" t="n">
        <v>39174</v>
      </c>
      <c r="B283" s="0" t="s">
        <v>22</v>
      </c>
      <c r="C283" s="1" t="n">
        <v>7</v>
      </c>
      <c r="D283" s="0" t="s">
        <v>17</v>
      </c>
      <c r="E283" s="1" t="n">
        <f aca="false">crudos!E283+crudos!F283</f>
        <v>0</v>
      </c>
      <c r="F283" s="1" t="n">
        <f aca="false">crudos!G283+crudos!H283</f>
        <v>6</v>
      </c>
      <c r="G283" s="1" t="n">
        <f aca="false">crudos!I283+crudos!J283</f>
        <v>8</v>
      </c>
      <c r="H283" s="2"/>
      <c r="I283" s="1"/>
      <c r="J283" s="1"/>
    </row>
    <row r="284" customFormat="false" ht="15" hidden="false" customHeight="false" outlineLevel="0" collapsed="false">
      <c r="A284" s="4" t="n">
        <v>39174</v>
      </c>
      <c r="B284" s="0" t="s">
        <v>22</v>
      </c>
      <c r="C284" s="1" t="n">
        <v>7</v>
      </c>
      <c r="D284" s="0" t="s">
        <v>18</v>
      </c>
      <c r="E284" s="1" t="n">
        <f aca="false">crudos!E284+crudos!F284</f>
        <v>0</v>
      </c>
      <c r="F284" s="1" t="n">
        <f aca="false">crudos!G284+crudos!H284</f>
        <v>0</v>
      </c>
      <c r="G284" s="1" t="n">
        <f aca="false">crudos!I284+crudos!J284</f>
        <v>0</v>
      </c>
      <c r="H284" s="2"/>
      <c r="I284" s="1"/>
      <c r="J284" s="1"/>
    </row>
    <row r="285" customFormat="false" ht="15" hidden="false" customHeight="false" outlineLevel="0" collapsed="false">
      <c r="A285" s="4" t="n">
        <v>39173</v>
      </c>
      <c r="B285" s="0" t="s">
        <v>22</v>
      </c>
      <c r="C285" s="1" t="n">
        <v>8</v>
      </c>
      <c r="D285" s="0" t="s">
        <v>13</v>
      </c>
      <c r="E285" s="1" t="n">
        <f aca="false">crudos!E285+crudos!F285</f>
        <v>11</v>
      </c>
      <c r="F285" s="1" t="n">
        <f aca="false">crudos!G285+crudos!H285</f>
        <v>0</v>
      </c>
      <c r="G285" s="1" t="n">
        <f aca="false">crudos!I285+crudos!J285</f>
        <v>0</v>
      </c>
      <c r="H285" s="2" t="n">
        <v>1</v>
      </c>
      <c r="I285" s="1"/>
      <c r="J285" s="1"/>
    </row>
    <row r="286" customFormat="false" ht="15" hidden="false" customHeight="false" outlineLevel="0" collapsed="false">
      <c r="A286" s="4" t="n">
        <v>39173</v>
      </c>
      <c r="B286" s="0" t="s">
        <v>22</v>
      </c>
      <c r="C286" s="1" t="n">
        <v>8</v>
      </c>
      <c r="D286" s="0" t="s">
        <v>14</v>
      </c>
      <c r="E286" s="1" t="n">
        <f aca="false">crudos!E286+crudos!F286</f>
        <v>7</v>
      </c>
      <c r="F286" s="1" t="n">
        <f aca="false">crudos!G286+crudos!H286</f>
        <v>0</v>
      </c>
      <c r="G286" s="1" t="n">
        <f aca="false">crudos!I286+crudos!J286</f>
        <v>0</v>
      </c>
      <c r="H286" s="2"/>
      <c r="I286" s="1"/>
      <c r="J286" s="1"/>
    </row>
    <row r="287" customFormat="false" ht="15" hidden="false" customHeight="false" outlineLevel="0" collapsed="false">
      <c r="A287" s="4" t="n">
        <v>39173</v>
      </c>
      <c r="B287" s="0" t="s">
        <v>22</v>
      </c>
      <c r="C287" s="1" t="n">
        <v>8</v>
      </c>
      <c r="D287" s="0" t="s">
        <v>15</v>
      </c>
      <c r="E287" s="1" t="n">
        <f aca="false">crudos!E287+crudos!F287</f>
        <v>0</v>
      </c>
      <c r="F287" s="1" t="n">
        <f aca="false">crudos!G287+crudos!H287</f>
        <v>0</v>
      </c>
      <c r="G287" s="1" t="n">
        <f aca="false">crudos!I287+crudos!J287</f>
        <v>0</v>
      </c>
      <c r="H287" s="2"/>
      <c r="I287" s="1"/>
      <c r="J287" s="1"/>
    </row>
    <row r="288" customFormat="false" ht="15" hidden="false" customHeight="false" outlineLevel="0" collapsed="false">
      <c r="A288" s="4" t="n">
        <v>39173</v>
      </c>
      <c r="B288" s="0" t="s">
        <v>22</v>
      </c>
      <c r="C288" s="1" t="n">
        <v>8</v>
      </c>
      <c r="D288" s="0" t="s">
        <v>16</v>
      </c>
      <c r="E288" s="1" t="n">
        <f aca="false">crudos!E288+crudos!F288</f>
        <v>0</v>
      </c>
      <c r="F288" s="1" t="n">
        <f aca="false">crudos!G288+crudos!H288</f>
        <v>0</v>
      </c>
      <c r="G288" s="1" t="n">
        <f aca="false">crudos!I288+crudos!J288</f>
        <v>2</v>
      </c>
      <c r="H288" s="2"/>
      <c r="I288" s="1"/>
      <c r="J288" s="1"/>
    </row>
    <row r="289" customFormat="false" ht="15" hidden="false" customHeight="false" outlineLevel="0" collapsed="false">
      <c r="A289" s="4" t="n">
        <v>39173</v>
      </c>
      <c r="B289" s="0" t="s">
        <v>22</v>
      </c>
      <c r="C289" s="1" t="n">
        <v>8</v>
      </c>
      <c r="D289" s="0" t="s">
        <v>17</v>
      </c>
      <c r="E289" s="1" t="n">
        <f aca="false">crudos!E289+crudos!F289</f>
        <v>1</v>
      </c>
      <c r="F289" s="1" t="n">
        <f aca="false">crudos!G289+crudos!H289</f>
        <v>0</v>
      </c>
      <c r="G289" s="1" t="n">
        <f aca="false">crudos!I289+crudos!J289</f>
        <v>4</v>
      </c>
      <c r="H289" s="2"/>
      <c r="I289" s="1"/>
      <c r="J289" s="1"/>
    </row>
    <row r="290" customFormat="false" ht="15" hidden="false" customHeight="false" outlineLevel="0" collapsed="false">
      <c r="A290" s="4" t="n">
        <v>39173</v>
      </c>
      <c r="B290" s="0" t="s">
        <v>22</v>
      </c>
      <c r="C290" s="1" t="n">
        <v>8</v>
      </c>
      <c r="D290" s="0" t="s">
        <v>18</v>
      </c>
      <c r="E290" s="1" t="n">
        <f aca="false">crudos!E290+crudos!F290</f>
        <v>0</v>
      </c>
      <c r="F290" s="1" t="n">
        <f aca="false">crudos!G290+crudos!H290</f>
        <v>0</v>
      </c>
      <c r="G290" s="1" t="n">
        <f aca="false">crudos!I290+crudos!J290</f>
        <v>0</v>
      </c>
      <c r="H290" s="2"/>
      <c r="I290" s="1"/>
      <c r="J290" s="1"/>
    </row>
    <row r="291" customFormat="false" ht="15" hidden="false" customHeight="false" outlineLevel="0" collapsed="false">
      <c r="A291" s="4" t="n">
        <v>39173</v>
      </c>
      <c r="B291" s="0" t="s">
        <v>22</v>
      </c>
      <c r="C291" s="1" t="n">
        <v>9</v>
      </c>
      <c r="D291" s="0" t="s">
        <v>13</v>
      </c>
      <c r="E291" s="1" t="n">
        <f aca="false">crudos!E291+crudos!F291</f>
        <v>10</v>
      </c>
      <c r="F291" s="1" t="n">
        <f aca="false">crudos!G291+crudos!H291</f>
        <v>0</v>
      </c>
      <c r="G291" s="1" t="n">
        <f aca="false">crudos!I291+crudos!J291</f>
        <v>0</v>
      </c>
      <c r="H291" s="2" t="n">
        <v>0</v>
      </c>
      <c r="I291" s="1"/>
      <c r="J291" s="1"/>
    </row>
    <row r="292" customFormat="false" ht="15" hidden="false" customHeight="false" outlineLevel="0" collapsed="false">
      <c r="A292" s="4" t="n">
        <v>39173</v>
      </c>
      <c r="B292" s="0" t="s">
        <v>22</v>
      </c>
      <c r="C292" s="1" t="n">
        <v>9</v>
      </c>
      <c r="D292" s="0" t="s">
        <v>14</v>
      </c>
      <c r="E292" s="1" t="n">
        <f aca="false">crudos!E292+crudos!F292</f>
        <v>23</v>
      </c>
      <c r="F292" s="1" t="n">
        <f aca="false">crudos!G292+crudos!H292</f>
        <v>0</v>
      </c>
      <c r="G292" s="1" t="n">
        <f aca="false">crudos!I292+crudos!J292</f>
        <v>0</v>
      </c>
      <c r="H292" s="2"/>
      <c r="I292" s="1"/>
      <c r="J292" s="1"/>
    </row>
    <row r="293" customFormat="false" ht="15" hidden="false" customHeight="false" outlineLevel="0" collapsed="false">
      <c r="A293" s="4" t="n">
        <v>39173</v>
      </c>
      <c r="B293" s="0" t="s">
        <v>22</v>
      </c>
      <c r="C293" s="1" t="n">
        <v>9</v>
      </c>
      <c r="D293" s="0" t="s">
        <v>15</v>
      </c>
      <c r="E293" s="1" t="n">
        <f aca="false">crudos!E293+crudos!F293</f>
        <v>0</v>
      </c>
      <c r="F293" s="1" t="n">
        <f aca="false">crudos!G293+crudos!H293</f>
        <v>0</v>
      </c>
      <c r="G293" s="1" t="n">
        <f aca="false">crudos!I293+crudos!J293</f>
        <v>0</v>
      </c>
      <c r="H293" s="2"/>
      <c r="I293" s="1"/>
      <c r="J293" s="1"/>
    </row>
    <row r="294" customFormat="false" ht="15" hidden="false" customHeight="false" outlineLevel="0" collapsed="false">
      <c r="A294" s="4" t="n">
        <v>39173</v>
      </c>
      <c r="B294" s="0" t="s">
        <v>22</v>
      </c>
      <c r="C294" s="1" t="n">
        <v>9</v>
      </c>
      <c r="D294" s="0" t="s">
        <v>16</v>
      </c>
      <c r="E294" s="1" t="n">
        <f aca="false">crudos!E294+crudos!F294</f>
        <v>1</v>
      </c>
      <c r="F294" s="1" t="n">
        <f aca="false">crudos!G294+crudos!H294</f>
        <v>0</v>
      </c>
      <c r="G294" s="1" t="n">
        <f aca="false">crudos!I294+crudos!J294</f>
        <v>0</v>
      </c>
      <c r="H294" s="2"/>
      <c r="I294" s="1"/>
      <c r="J294" s="1"/>
    </row>
    <row r="295" customFormat="false" ht="15" hidden="false" customHeight="false" outlineLevel="0" collapsed="false">
      <c r="A295" s="4" t="n">
        <v>39173</v>
      </c>
      <c r="B295" s="0" t="s">
        <v>22</v>
      </c>
      <c r="C295" s="1" t="n">
        <v>9</v>
      </c>
      <c r="D295" s="0" t="s">
        <v>17</v>
      </c>
      <c r="E295" s="1" t="n">
        <f aca="false">crudos!E295+crudos!F295</f>
        <v>3</v>
      </c>
      <c r="F295" s="1" t="n">
        <f aca="false">crudos!G295+crudos!H295</f>
        <v>10</v>
      </c>
      <c r="G295" s="1" t="n">
        <f aca="false">crudos!I295+crudos!J295</f>
        <v>5</v>
      </c>
      <c r="H295" s="2"/>
      <c r="I295" s="1"/>
      <c r="J295" s="1"/>
    </row>
    <row r="296" customFormat="false" ht="15" hidden="false" customHeight="false" outlineLevel="0" collapsed="false">
      <c r="A296" s="4" t="n">
        <v>39173</v>
      </c>
      <c r="B296" s="0" t="s">
        <v>22</v>
      </c>
      <c r="C296" s="1" t="n">
        <v>9</v>
      </c>
      <c r="D296" s="0" t="s">
        <v>18</v>
      </c>
      <c r="E296" s="1" t="n">
        <f aca="false">crudos!E296+crudos!F296</f>
        <v>0</v>
      </c>
      <c r="F296" s="1" t="n">
        <f aca="false">crudos!G296+crudos!H296</f>
        <v>0</v>
      </c>
      <c r="G296" s="1" t="n">
        <f aca="false">crudos!I296+crudos!J296</f>
        <v>0</v>
      </c>
      <c r="H296" s="2"/>
      <c r="I296" s="1"/>
      <c r="J296" s="1"/>
    </row>
    <row r="297" customFormat="false" ht="15" hidden="false" customHeight="false" outlineLevel="0" collapsed="false">
      <c r="A297" s="4" t="n">
        <v>39176</v>
      </c>
      <c r="B297" s="0" t="s">
        <v>22</v>
      </c>
      <c r="C297" s="1" t="n">
        <v>10</v>
      </c>
      <c r="D297" s="0" t="s">
        <v>13</v>
      </c>
      <c r="E297" s="1" t="n">
        <f aca="false">crudos!E297+crudos!F297</f>
        <v>6</v>
      </c>
      <c r="F297" s="1" t="n">
        <f aca="false">crudos!G297+crudos!H297</f>
        <v>0</v>
      </c>
      <c r="G297" s="1" t="n">
        <f aca="false">crudos!I297+crudos!J297</f>
        <v>0</v>
      </c>
      <c r="H297" s="2" t="n">
        <v>0</v>
      </c>
      <c r="I297" s="1"/>
      <c r="J297" s="1"/>
    </row>
    <row r="298" customFormat="false" ht="15" hidden="false" customHeight="false" outlineLevel="0" collapsed="false">
      <c r="A298" s="4" t="n">
        <v>39176</v>
      </c>
      <c r="B298" s="0" t="s">
        <v>22</v>
      </c>
      <c r="C298" s="1" t="n">
        <v>10</v>
      </c>
      <c r="D298" s="0" t="s">
        <v>14</v>
      </c>
      <c r="E298" s="1" t="n">
        <f aca="false">crudos!E298+crudos!F298</f>
        <v>21</v>
      </c>
      <c r="F298" s="1" t="n">
        <f aca="false">crudos!G298+crudos!H298</f>
        <v>0</v>
      </c>
      <c r="G298" s="1" t="n">
        <f aca="false">crudos!I298+crudos!J298</f>
        <v>0</v>
      </c>
      <c r="H298" s="2"/>
      <c r="I298" s="1"/>
      <c r="J298" s="1"/>
    </row>
    <row r="299" customFormat="false" ht="15" hidden="false" customHeight="false" outlineLevel="0" collapsed="false">
      <c r="A299" s="4" t="n">
        <v>39176</v>
      </c>
      <c r="B299" s="0" t="s">
        <v>22</v>
      </c>
      <c r="C299" s="1" t="n">
        <v>10</v>
      </c>
      <c r="D299" s="0" t="s">
        <v>15</v>
      </c>
      <c r="E299" s="1" t="n">
        <f aca="false">crudos!E299+crudos!F299</f>
        <v>0</v>
      </c>
      <c r="F299" s="1" t="n">
        <f aca="false">crudos!G299+crudos!H299</f>
        <v>0</v>
      </c>
      <c r="G299" s="1" t="n">
        <f aca="false">crudos!I299+crudos!J299</f>
        <v>0</v>
      </c>
      <c r="H299" s="2"/>
      <c r="I299" s="1"/>
      <c r="J299" s="1"/>
    </row>
    <row r="300" customFormat="false" ht="15" hidden="false" customHeight="false" outlineLevel="0" collapsed="false">
      <c r="A300" s="4" t="n">
        <v>39176</v>
      </c>
      <c r="B300" s="0" t="s">
        <v>22</v>
      </c>
      <c r="C300" s="1" t="n">
        <v>10</v>
      </c>
      <c r="D300" s="0" t="s">
        <v>16</v>
      </c>
      <c r="E300" s="1" t="n">
        <f aca="false">crudos!E300+crudos!F300</f>
        <v>0</v>
      </c>
      <c r="F300" s="1" t="n">
        <f aca="false">crudos!G300+crudos!H300</f>
        <v>0</v>
      </c>
      <c r="G300" s="1" t="n">
        <f aca="false">crudos!I300+crudos!J300</f>
        <v>0</v>
      </c>
      <c r="H300" s="2"/>
      <c r="I300" s="1"/>
      <c r="J300" s="1"/>
    </row>
    <row r="301" customFormat="false" ht="15" hidden="false" customHeight="false" outlineLevel="0" collapsed="false">
      <c r="A301" s="4" t="n">
        <v>39176</v>
      </c>
      <c r="B301" s="0" t="s">
        <v>22</v>
      </c>
      <c r="C301" s="1" t="n">
        <v>10</v>
      </c>
      <c r="D301" s="0" t="s">
        <v>17</v>
      </c>
      <c r="E301" s="1" t="n">
        <f aca="false">crudos!E301+crudos!F301</f>
        <v>2</v>
      </c>
      <c r="F301" s="1" t="n">
        <f aca="false">crudos!G301+crudos!H301</f>
        <v>3</v>
      </c>
      <c r="G301" s="1" t="n">
        <f aca="false">crudos!I301+crudos!J301</f>
        <v>12</v>
      </c>
      <c r="H301" s="2"/>
      <c r="I301" s="1"/>
      <c r="J301" s="1"/>
    </row>
    <row r="302" customFormat="false" ht="15" hidden="false" customHeight="false" outlineLevel="0" collapsed="false">
      <c r="A302" s="4" t="n">
        <v>39176</v>
      </c>
      <c r="B302" s="0" t="s">
        <v>22</v>
      </c>
      <c r="C302" s="1" t="n">
        <v>10</v>
      </c>
      <c r="D302" s="0" t="s">
        <v>18</v>
      </c>
      <c r="E302" s="1" t="n">
        <f aca="false">crudos!E302+crudos!F302</f>
        <v>0</v>
      </c>
      <c r="F302" s="1" t="n">
        <f aca="false">crudos!G302+crudos!H302</f>
        <v>0</v>
      </c>
      <c r="G302" s="1" t="n">
        <f aca="false">crudos!I302+crudos!J302</f>
        <v>0</v>
      </c>
      <c r="H302" s="2"/>
      <c r="I302" s="1"/>
      <c r="J302" s="1"/>
    </row>
    <row r="303" customFormat="false" ht="15" hidden="false" customHeight="false" outlineLevel="0" collapsed="false">
      <c r="A303" s="4" t="n">
        <v>39114</v>
      </c>
      <c r="B303" s="0" t="s">
        <v>23</v>
      </c>
      <c r="C303" s="1" t="n">
        <v>1</v>
      </c>
      <c r="D303" s="0" t="s">
        <v>13</v>
      </c>
      <c r="E303" s="1" t="n">
        <f aca="false">crudos!E303+crudos!F303</f>
        <v>9</v>
      </c>
      <c r="F303" s="1" t="n">
        <f aca="false">crudos!G303+crudos!H303</f>
        <v>0</v>
      </c>
      <c r="G303" s="1" t="n">
        <f aca="false">crudos!I303+crudos!J303</f>
        <v>0</v>
      </c>
      <c r="H303" s="2" t="n">
        <v>0</v>
      </c>
      <c r="I303" s="1"/>
      <c r="J303" s="1"/>
    </row>
    <row r="304" customFormat="false" ht="15" hidden="false" customHeight="false" outlineLevel="0" collapsed="false">
      <c r="A304" s="4" t="n">
        <v>39114</v>
      </c>
      <c r="B304" s="0" t="s">
        <v>23</v>
      </c>
      <c r="C304" s="1" t="n">
        <v>1</v>
      </c>
      <c r="D304" s="0" t="s">
        <v>14</v>
      </c>
      <c r="E304" s="1" t="n">
        <f aca="false">crudos!E304+crudos!F304</f>
        <v>22</v>
      </c>
      <c r="F304" s="1" t="n">
        <f aca="false">crudos!G304+crudos!H304</f>
        <v>0</v>
      </c>
      <c r="G304" s="1" t="n">
        <f aca="false">crudos!I304+crudos!J304</f>
        <v>0</v>
      </c>
      <c r="H304" s="2"/>
      <c r="I304" s="1"/>
      <c r="J304" s="1"/>
    </row>
    <row r="305" customFormat="false" ht="15" hidden="false" customHeight="false" outlineLevel="0" collapsed="false">
      <c r="A305" s="4" t="n">
        <v>39114</v>
      </c>
      <c r="B305" s="0" t="s">
        <v>23</v>
      </c>
      <c r="C305" s="1" t="n">
        <v>1</v>
      </c>
      <c r="D305" s="0" t="s">
        <v>15</v>
      </c>
      <c r="E305" s="1" t="n">
        <f aca="false">crudos!E305+crudos!F305</f>
        <v>0</v>
      </c>
      <c r="F305" s="1" t="n">
        <f aca="false">crudos!G305+crudos!H305</f>
        <v>2</v>
      </c>
      <c r="G305" s="1" t="n">
        <f aca="false">crudos!I305+crudos!J305</f>
        <v>1</v>
      </c>
      <c r="H305" s="2"/>
      <c r="I305" s="1"/>
      <c r="J305" s="1"/>
    </row>
    <row r="306" customFormat="false" ht="15" hidden="false" customHeight="false" outlineLevel="0" collapsed="false">
      <c r="A306" s="4" t="n">
        <v>39114</v>
      </c>
      <c r="B306" s="0" t="s">
        <v>23</v>
      </c>
      <c r="C306" s="1" t="n">
        <v>1</v>
      </c>
      <c r="D306" s="0" t="s">
        <v>16</v>
      </c>
      <c r="E306" s="1" t="n">
        <f aca="false">crudos!E306+crudos!F306</f>
        <v>0</v>
      </c>
      <c r="F306" s="1" t="n">
        <f aca="false">crudos!G306+crudos!H306</f>
        <v>2</v>
      </c>
      <c r="G306" s="1" t="n">
        <f aca="false">crudos!I306+crudos!J306</f>
        <v>6</v>
      </c>
      <c r="H306" s="2"/>
      <c r="I306" s="1"/>
      <c r="J306" s="1"/>
    </row>
    <row r="307" customFormat="false" ht="15" hidden="false" customHeight="false" outlineLevel="0" collapsed="false">
      <c r="A307" s="4" t="n">
        <v>39114</v>
      </c>
      <c r="B307" s="0" t="s">
        <v>23</v>
      </c>
      <c r="C307" s="1" t="n">
        <v>1</v>
      </c>
      <c r="D307" s="0" t="s">
        <v>17</v>
      </c>
      <c r="E307" s="1" t="n">
        <f aca="false">crudos!E307+crudos!F307</f>
        <v>4</v>
      </c>
      <c r="F307" s="1" t="n">
        <f aca="false">crudos!G307+crudos!H307</f>
        <v>6</v>
      </c>
      <c r="G307" s="1" t="n">
        <f aca="false">crudos!I307+crudos!J307</f>
        <v>4</v>
      </c>
      <c r="H307" s="2"/>
      <c r="I307" s="1"/>
      <c r="J307" s="1"/>
    </row>
    <row r="308" customFormat="false" ht="15" hidden="false" customHeight="false" outlineLevel="0" collapsed="false">
      <c r="A308" s="4" t="n">
        <v>39114</v>
      </c>
      <c r="B308" s="0" t="s">
        <v>23</v>
      </c>
      <c r="C308" s="1" t="n">
        <v>1</v>
      </c>
      <c r="D308" s="0" t="s">
        <v>18</v>
      </c>
      <c r="E308" s="1" t="n">
        <f aca="false">crudos!E308+crudos!F308</f>
        <v>0</v>
      </c>
      <c r="F308" s="1" t="n">
        <f aca="false">crudos!G308+crudos!H308</f>
        <v>0</v>
      </c>
      <c r="G308" s="1" t="n">
        <f aca="false">crudos!I308+crudos!J308</f>
        <v>0</v>
      </c>
      <c r="H308" s="2"/>
      <c r="I308" s="1"/>
      <c r="J308" s="1"/>
    </row>
    <row r="309" customFormat="false" ht="15" hidden="false" customHeight="false" outlineLevel="0" collapsed="false">
      <c r="A309" s="4" t="n">
        <v>39114</v>
      </c>
      <c r="B309" s="0" t="s">
        <v>23</v>
      </c>
      <c r="C309" s="1" t="n">
        <v>2</v>
      </c>
      <c r="D309" s="0" t="s">
        <v>13</v>
      </c>
      <c r="E309" s="1" t="n">
        <f aca="false">crudos!E309+crudos!F309</f>
        <v>26</v>
      </c>
      <c r="F309" s="1" t="n">
        <f aca="false">crudos!G309+crudos!H309</f>
        <v>1</v>
      </c>
      <c r="G309" s="1" t="n">
        <f aca="false">crudos!I309+crudos!J309</f>
        <v>0</v>
      </c>
      <c r="H309" s="2" t="n">
        <v>1</v>
      </c>
      <c r="I309" s="1"/>
      <c r="J309" s="1"/>
    </row>
    <row r="310" customFormat="false" ht="15" hidden="false" customHeight="false" outlineLevel="0" collapsed="false">
      <c r="A310" s="4" t="n">
        <v>39114</v>
      </c>
      <c r="B310" s="0" t="s">
        <v>23</v>
      </c>
      <c r="C310" s="1" t="n">
        <v>2</v>
      </c>
      <c r="D310" s="0" t="s">
        <v>14</v>
      </c>
      <c r="E310" s="1" t="n">
        <f aca="false">crudos!E310+crudos!F310</f>
        <v>18</v>
      </c>
      <c r="F310" s="1" t="n">
        <f aca="false">crudos!G310+crudos!H310</f>
        <v>0</v>
      </c>
      <c r="G310" s="1" t="n">
        <f aca="false">crudos!I310+crudos!J310</f>
        <v>0</v>
      </c>
      <c r="H310" s="2"/>
      <c r="I310" s="1"/>
      <c r="J310" s="1"/>
    </row>
    <row r="311" customFormat="false" ht="15" hidden="false" customHeight="false" outlineLevel="0" collapsed="false">
      <c r="A311" s="4" t="n">
        <v>39114</v>
      </c>
      <c r="B311" s="0" t="s">
        <v>23</v>
      </c>
      <c r="C311" s="1" t="n">
        <v>2</v>
      </c>
      <c r="D311" s="0" t="s">
        <v>15</v>
      </c>
      <c r="E311" s="1" t="n">
        <f aca="false">crudos!E311+crudos!F311</f>
        <v>1</v>
      </c>
      <c r="F311" s="1" t="n">
        <f aca="false">crudos!G311+crudos!H311</f>
        <v>0</v>
      </c>
      <c r="G311" s="1" t="n">
        <f aca="false">crudos!I311+crudos!J311</f>
        <v>0</v>
      </c>
      <c r="H311" s="2"/>
      <c r="I311" s="1"/>
      <c r="J311" s="1"/>
    </row>
    <row r="312" customFormat="false" ht="15" hidden="false" customHeight="false" outlineLevel="0" collapsed="false">
      <c r="A312" s="4" t="n">
        <v>39114</v>
      </c>
      <c r="B312" s="0" t="s">
        <v>23</v>
      </c>
      <c r="C312" s="1" t="n">
        <v>2</v>
      </c>
      <c r="D312" s="0" t="s">
        <v>16</v>
      </c>
      <c r="E312" s="1" t="n">
        <f aca="false">crudos!E312+crudos!F312</f>
        <v>0</v>
      </c>
      <c r="F312" s="1" t="n">
        <f aca="false">crudos!G312+crudos!H312</f>
        <v>1</v>
      </c>
      <c r="G312" s="1" t="n">
        <f aca="false">crudos!I312+crudos!J312</f>
        <v>0</v>
      </c>
      <c r="H312" s="2"/>
      <c r="I312" s="1"/>
      <c r="J312" s="1"/>
    </row>
    <row r="313" customFormat="false" ht="15" hidden="false" customHeight="false" outlineLevel="0" collapsed="false">
      <c r="A313" s="4" t="n">
        <v>39114</v>
      </c>
      <c r="B313" s="0" t="s">
        <v>23</v>
      </c>
      <c r="C313" s="1" t="n">
        <v>2</v>
      </c>
      <c r="D313" s="0" t="s">
        <v>17</v>
      </c>
      <c r="E313" s="1" t="n">
        <f aca="false">crudos!E313+crudos!F313</f>
        <v>7</v>
      </c>
      <c r="F313" s="1" t="n">
        <f aca="false">crudos!G313+crudos!H313</f>
        <v>1</v>
      </c>
      <c r="G313" s="1" t="n">
        <f aca="false">crudos!I313+crudos!J313</f>
        <v>1</v>
      </c>
      <c r="H313" s="2"/>
      <c r="I313" s="1"/>
      <c r="J313" s="1"/>
    </row>
    <row r="314" customFormat="false" ht="15" hidden="false" customHeight="false" outlineLevel="0" collapsed="false">
      <c r="A314" s="4" t="n">
        <v>39114</v>
      </c>
      <c r="B314" s="0" t="s">
        <v>23</v>
      </c>
      <c r="C314" s="1" t="n">
        <v>2</v>
      </c>
      <c r="D314" s="0" t="s">
        <v>18</v>
      </c>
      <c r="E314" s="1" t="n">
        <f aca="false">crudos!E314+crudos!F314</f>
        <v>0</v>
      </c>
      <c r="F314" s="1" t="n">
        <f aca="false">crudos!G314+crudos!H314</f>
        <v>0</v>
      </c>
      <c r="G314" s="1" t="n">
        <f aca="false">crudos!I314+crudos!J314</f>
        <v>0</v>
      </c>
      <c r="H314" s="2"/>
      <c r="I314" s="1"/>
      <c r="J314" s="1"/>
    </row>
    <row r="315" customFormat="false" ht="15" hidden="false" customHeight="false" outlineLevel="0" collapsed="false">
      <c r="A315" s="4" t="n">
        <v>39114</v>
      </c>
      <c r="B315" s="0" t="s">
        <v>23</v>
      </c>
      <c r="C315" s="1" t="n">
        <v>3</v>
      </c>
      <c r="D315" s="0" t="s">
        <v>13</v>
      </c>
      <c r="E315" s="1" t="n">
        <f aca="false">crudos!E315+crudos!F315</f>
        <v>14</v>
      </c>
      <c r="F315" s="1" t="n">
        <f aca="false">crudos!G315+crudos!H315</f>
        <v>0</v>
      </c>
      <c r="G315" s="1" t="n">
        <f aca="false">crudos!I315+crudos!J315</f>
        <v>0</v>
      </c>
      <c r="H315" s="2" t="n">
        <v>0</v>
      </c>
      <c r="I315" s="1"/>
      <c r="J315" s="1"/>
    </row>
    <row r="316" customFormat="false" ht="15" hidden="false" customHeight="false" outlineLevel="0" collapsed="false">
      <c r="A316" s="4" t="n">
        <v>39114</v>
      </c>
      <c r="B316" s="0" t="s">
        <v>23</v>
      </c>
      <c r="C316" s="1" t="n">
        <v>3</v>
      </c>
      <c r="D316" s="0" t="s">
        <v>14</v>
      </c>
      <c r="E316" s="1" t="n">
        <f aca="false">crudos!E316+crudos!F316</f>
        <v>9</v>
      </c>
      <c r="F316" s="1" t="n">
        <f aca="false">crudos!G316+crudos!H316</f>
        <v>0</v>
      </c>
      <c r="G316" s="1" t="n">
        <f aca="false">crudos!I316+crudos!J316</f>
        <v>0</v>
      </c>
      <c r="H316" s="2"/>
      <c r="I316" s="1"/>
      <c r="J316" s="1"/>
    </row>
    <row r="317" customFormat="false" ht="15" hidden="false" customHeight="false" outlineLevel="0" collapsed="false">
      <c r="A317" s="4" t="n">
        <v>39114</v>
      </c>
      <c r="B317" s="0" t="s">
        <v>23</v>
      </c>
      <c r="C317" s="1" t="n">
        <v>3</v>
      </c>
      <c r="D317" s="0" t="s">
        <v>15</v>
      </c>
      <c r="E317" s="1" t="n">
        <f aca="false">crudos!E317+crudos!F317</f>
        <v>1</v>
      </c>
      <c r="F317" s="1" t="n">
        <f aca="false">crudos!G317+crudos!H317</f>
        <v>5</v>
      </c>
      <c r="G317" s="1" t="n">
        <f aca="false">crudos!I317+crudos!J317</f>
        <v>0</v>
      </c>
      <c r="H317" s="2"/>
      <c r="I317" s="1"/>
      <c r="J317" s="1"/>
    </row>
    <row r="318" customFormat="false" ht="15" hidden="false" customHeight="false" outlineLevel="0" collapsed="false">
      <c r="A318" s="4" t="n">
        <v>39114</v>
      </c>
      <c r="B318" s="0" t="s">
        <v>23</v>
      </c>
      <c r="C318" s="1" t="n">
        <v>3</v>
      </c>
      <c r="D318" s="0" t="s">
        <v>16</v>
      </c>
      <c r="E318" s="1" t="n">
        <f aca="false">crudos!E318+crudos!F318</f>
        <v>4</v>
      </c>
      <c r="F318" s="1" t="n">
        <f aca="false">crudos!G318+crudos!H318</f>
        <v>2</v>
      </c>
      <c r="G318" s="1" t="n">
        <f aca="false">crudos!I318+crudos!J318</f>
        <v>1</v>
      </c>
      <c r="H318" s="2"/>
      <c r="I318" s="1"/>
      <c r="J318" s="1"/>
    </row>
    <row r="319" customFormat="false" ht="15" hidden="false" customHeight="false" outlineLevel="0" collapsed="false">
      <c r="A319" s="4" t="n">
        <v>39114</v>
      </c>
      <c r="B319" s="0" t="s">
        <v>23</v>
      </c>
      <c r="C319" s="1" t="n">
        <v>3</v>
      </c>
      <c r="D319" s="0" t="s">
        <v>17</v>
      </c>
      <c r="E319" s="1" t="n">
        <f aca="false">crudos!E319+crudos!F319</f>
        <v>4</v>
      </c>
      <c r="F319" s="1" t="n">
        <f aca="false">crudos!G319+crudos!H319</f>
        <v>4</v>
      </c>
      <c r="G319" s="1" t="n">
        <f aca="false">crudos!I319+crudos!J319</f>
        <v>3</v>
      </c>
      <c r="H319" s="2"/>
      <c r="I319" s="1"/>
      <c r="J319" s="1"/>
    </row>
    <row r="320" customFormat="false" ht="15" hidden="false" customHeight="false" outlineLevel="0" collapsed="false">
      <c r="A320" s="4" t="n">
        <v>39114</v>
      </c>
      <c r="B320" s="0" t="s">
        <v>23</v>
      </c>
      <c r="C320" s="1" t="n">
        <v>3</v>
      </c>
      <c r="D320" s="0" t="s">
        <v>18</v>
      </c>
      <c r="E320" s="1" t="n">
        <f aca="false">crudos!E320+crudos!F320</f>
        <v>0</v>
      </c>
      <c r="F320" s="1" t="n">
        <f aca="false">crudos!G320+crudos!H320</f>
        <v>0</v>
      </c>
      <c r="G320" s="1" t="n">
        <f aca="false">crudos!I320+crudos!J320</f>
        <v>0</v>
      </c>
      <c r="H320" s="2"/>
      <c r="I320" s="1"/>
      <c r="J320" s="1"/>
    </row>
    <row r="321" customFormat="false" ht="15" hidden="false" customHeight="false" outlineLevel="0" collapsed="false">
      <c r="A321" s="4" t="n">
        <v>39114</v>
      </c>
      <c r="B321" s="0" t="s">
        <v>23</v>
      </c>
      <c r="C321" s="1" t="n">
        <v>4</v>
      </c>
      <c r="D321" s="0" t="s">
        <v>13</v>
      </c>
      <c r="E321" s="1" t="n">
        <f aca="false">crudos!E321+crudos!F321</f>
        <v>7</v>
      </c>
      <c r="F321" s="1" t="n">
        <f aca="false">crudos!G321+crudos!H321</f>
        <v>0</v>
      </c>
      <c r="G321" s="1" t="n">
        <f aca="false">crudos!I321+crudos!J321</f>
        <v>0</v>
      </c>
      <c r="H321" s="2" t="n">
        <v>0</v>
      </c>
      <c r="I321" s="1"/>
      <c r="J321" s="1"/>
    </row>
    <row r="322" customFormat="false" ht="15" hidden="false" customHeight="false" outlineLevel="0" collapsed="false">
      <c r="A322" s="4" t="n">
        <v>39114</v>
      </c>
      <c r="B322" s="0" t="s">
        <v>23</v>
      </c>
      <c r="C322" s="1" t="n">
        <v>4</v>
      </c>
      <c r="D322" s="0" t="s">
        <v>14</v>
      </c>
      <c r="E322" s="1" t="n">
        <f aca="false">crudos!E322+crudos!F322</f>
        <v>20</v>
      </c>
      <c r="F322" s="1" t="n">
        <f aca="false">crudos!G322+crudos!H322</f>
        <v>7</v>
      </c>
      <c r="G322" s="1" t="n">
        <f aca="false">crudos!I322+crudos!J322</f>
        <v>0</v>
      </c>
      <c r="H322" s="2"/>
      <c r="I322" s="1"/>
      <c r="J322" s="1"/>
    </row>
    <row r="323" customFormat="false" ht="15" hidden="false" customHeight="false" outlineLevel="0" collapsed="false">
      <c r="A323" s="4" t="n">
        <v>39114</v>
      </c>
      <c r="B323" s="0" t="s">
        <v>23</v>
      </c>
      <c r="C323" s="1" t="n">
        <v>4</v>
      </c>
      <c r="D323" s="0" t="s">
        <v>15</v>
      </c>
      <c r="E323" s="1" t="n">
        <f aca="false">crudos!E323+crudos!F323</f>
        <v>0</v>
      </c>
      <c r="F323" s="1" t="n">
        <f aca="false">crudos!G323+crudos!H323</f>
        <v>0</v>
      </c>
      <c r="G323" s="1" t="n">
        <f aca="false">crudos!I323+crudos!J323</f>
        <v>2</v>
      </c>
      <c r="H323" s="2"/>
      <c r="I323" s="1"/>
      <c r="J323" s="1"/>
    </row>
    <row r="324" customFormat="false" ht="15" hidden="false" customHeight="false" outlineLevel="0" collapsed="false">
      <c r="A324" s="4" t="n">
        <v>39114</v>
      </c>
      <c r="B324" s="0" t="s">
        <v>23</v>
      </c>
      <c r="C324" s="1" t="n">
        <v>4</v>
      </c>
      <c r="D324" s="0" t="s">
        <v>16</v>
      </c>
      <c r="E324" s="1" t="n">
        <f aca="false">crudos!E324+crudos!F324</f>
        <v>0</v>
      </c>
      <c r="F324" s="1" t="n">
        <f aca="false">crudos!G324+crudos!H324</f>
        <v>0</v>
      </c>
      <c r="G324" s="1" t="n">
        <f aca="false">crudos!I324+crudos!J324</f>
        <v>0</v>
      </c>
      <c r="H324" s="2"/>
      <c r="I324" s="1"/>
      <c r="J324" s="1"/>
    </row>
    <row r="325" customFormat="false" ht="15" hidden="false" customHeight="false" outlineLevel="0" collapsed="false">
      <c r="A325" s="4" t="n">
        <v>39114</v>
      </c>
      <c r="B325" s="0" t="s">
        <v>23</v>
      </c>
      <c r="C325" s="1" t="n">
        <v>4</v>
      </c>
      <c r="D325" s="0" t="s">
        <v>17</v>
      </c>
      <c r="E325" s="1" t="n">
        <f aca="false">crudos!E325+crudos!F325</f>
        <v>0</v>
      </c>
      <c r="F325" s="1" t="n">
        <f aca="false">crudos!G325+crudos!H325</f>
        <v>0</v>
      </c>
      <c r="G325" s="1" t="n">
        <f aca="false">crudos!I325+crudos!J325</f>
        <v>6</v>
      </c>
      <c r="H325" s="2"/>
      <c r="I325" s="1"/>
      <c r="J325" s="1"/>
    </row>
    <row r="326" customFormat="false" ht="15" hidden="false" customHeight="false" outlineLevel="0" collapsed="false">
      <c r="A326" s="4" t="n">
        <v>39114</v>
      </c>
      <c r="B326" s="0" t="s">
        <v>23</v>
      </c>
      <c r="C326" s="1" t="n">
        <v>4</v>
      </c>
      <c r="D326" s="0" t="s">
        <v>18</v>
      </c>
      <c r="E326" s="1" t="n">
        <f aca="false">crudos!E326+crudos!F326</f>
        <v>0</v>
      </c>
      <c r="F326" s="1" t="n">
        <f aca="false">crudos!G326+crudos!H326</f>
        <v>0</v>
      </c>
      <c r="G326" s="1" t="n">
        <f aca="false">crudos!I326+crudos!J326</f>
        <v>0</v>
      </c>
      <c r="H326" s="2"/>
      <c r="I326" s="1"/>
      <c r="J326" s="1"/>
    </row>
    <row r="327" customFormat="false" ht="15" hidden="false" customHeight="false" outlineLevel="0" collapsed="false">
      <c r="A327" s="4" t="n">
        <v>39115</v>
      </c>
      <c r="B327" s="0" t="s">
        <v>23</v>
      </c>
      <c r="C327" s="1" t="n">
        <v>5</v>
      </c>
      <c r="D327" s="0" t="s">
        <v>13</v>
      </c>
      <c r="E327" s="1" t="n">
        <f aca="false">crudos!E327+crudos!F327</f>
        <v>10</v>
      </c>
      <c r="F327" s="1" t="n">
        <f aca="false">crudos!G327+crudos!H327</f>
        <v>0</v>
      </c>
      <c r="G327" s="1" t="n">
        <f aca="false">crudos!I327+crudos!J327</f>
        <v>0</v>
      </c>
      <c r="H327" s="2" t="n">
        <v>0</v>
      </c>
      <c r="I327" s="1"/>
      <c r="J327" s="1"/>
    </row>
    <row r="328" customFormat="false" ht="15" hidden="false" customHeight="false" outlineLevel="0" collapsed="false">
      <c r="A328" s="4" t="n">
        <v>39115</v>
      </c>
      <c r="B328" s="0" t="s">
        <v>23</v>
      </c>
      <c r="C328" s="1" t="n">
        <v>5</v>
      </c>
      <c r="D328" s="0" t="s">
        <v>14</v>
      </c>
      <c r="E328" s="1" t="n">
        <f aca="false">crudos!E328+crudos!F328</f>
        <v>37</v>
      </c>
      <c r="F328" s="1" t="n">
        <f aca="false">crudos!G328+crudos!H328</f>
        <v>0</v>
      </c>
      <c r="G328" s="1" t="n">
        <f aca="false">crudos!I328+crudos!J328</f>
        <v>0</v>
      </c>
      <c r="H328" s="2"/>
      <c r="I328" s="1"/>
      <c r="J328" s="1"/>
    </row>
    <row r="329" customFormat="false" ht="15" hidden="false" customHeight="false" outlineLevel="0" collapsed="false">
      <c r="A329" s="4" t="n">
        <v>39115</v>
      </c>
      <c r="B329" s="0" t="s">
        <v>23</v>
      </c>
      <c r="C329" s="1" t="n">
        <v>5</v>
      </c>
      <c r="D329" s="0" t="s">
        <v>15</v>
      </c>
      <c r="E329" s="1" t="n">
        <f aca="false">crudos!E329+crudos!F329</f>
        <v>1</v>
      </c>
      <c r="F329" s="1" t="n">
        <f aca="false">crudos!G329+crudos!H329</f>
        <v>2</v>
      </c>
      <c r="G329" s="1" t="n">
        <f aca="false">crudos!I329+crudos!J329</f>
        <v>0</v>
      </c>
      <c r="H329" s="2"/>
      <c r="I329" s="1"/>
      <c r="J329" s="1"/>
    </row>
    <row r="330" customFormat="false" ht="15" hidden="false" customHeight="false" outlineLevel="0" collapsed="false">
      <c r="A330" s="4" t="n">
        <v>39115</v>
      </c>
      <c r="B330" s="0" t="s">
        <v>23</v>
      </c>
      <c r="C330" s="1" t="n">
        <v>5</v>
      </c>
      <c r="D330" s="0" t="s">
        <v>16</v>
      </c>
      <c r="E330" s="1" t="n">
        <f aca="false">crudos!E330+crudos!F330</f>
        <v>9</v>
      </c>
      <c r="F330" s="1" t="n">
        <f aca="false">crudos!G330+crudos!H330</f>
        <v>1</v>
      </c>
      <c r="G330" s="1" t="n">
        <f aca="false">crudos!I330+crudos!J330</f>
        <v>0</v>
      </c>
      <c r="H330" s="2"/>
      <c r="I330" s="1"/>
      <c r="J330" s="1"/>
    </row>
    <row r="331" customFormat="false" ht="15" hidden="false" customHeight="false" outlineLevel="0" collapsed="false">
      <c r="A331" s="4" t="n">
        <v>39115</v>
      </c>
      <c r="B331" s="0" t="s">
        <v>23</v>
      </c>
      <c r="C331" s="1" t="n">
        <v>5</v>
      </c>
      <c r="D331" s="0" t="s">
        <v>17</v>
      </c>
      <c r="E331" s="1" t="n">
        <f aca="false">crudos!E331+crudos!F331</f>
        <v>4</v>
      </c>
      <c r="F331" s="1" t="n">
        <f aca="false">crudos!G331+crudos!H331</f>
        <v>0</v>
      </c>
      <c r="G331" s="1" t="n">
        <f aca="false">crudos!I331+crudos!J331</f>
        <v>15</v>
      </c>
      <c r="H331" s="2"/>
      <c r="I331" s="1"/>
      <c r="J331" s="1"/>
    </row>
    <row r="332" customFormat="false" ht="15" hidden="false" customHeight="false" outlineLevel="0" collapsed="false">
      <c r="A332" s="4" t="n">
        <v>39115</v>
      </c>
      <c r="B332" s="0" t="s">
        <v>23</v>
      </c>
      <c r="C332" s="1" t="n">
        <v>5</v>
      </c>
      <c r="D332" s="0" t="s">
        <v>18</v>
      </c>
      <c r="E332" s="1" t="n">
        <f aca="false">crudos!E332+crudos!F332</f>
        <v>0</v>
      </c>
      <c r="F332" s="1" t="n">
        <f aca="false">crudos!G332+crudos!H332</f>
        <v>0</v>
      </c>
      <c r="G332" s="1" t="n">
        <f aca="false">crudos!I332+crudos!J332</f>
        <v>0</v>
      </c>
      <c r="H332" s="2"/>
      <c r="I332" s="1"/>
      <c r="J332" s="1"/>
    </row>
    <row r="333" customFormat="false" ht="15" hidden="false" customHeight="false" outlineLevel="0" collapsed="false">
      <c r="A333" s="4" t="n">
        <v>39115</v>
      </c>
      <c r="B333" s="0" t="s">
        <v>23</v>
      </c>
      <c r="C333" s="1" t="n">
        <v>6</v>
      </c>
      <c r="D333" s="0" t="s">
        <v>13</v>
      </c>
      <c r="E333" s="1" t="n">
        <f aca="false">crudos!E333+crudos!F333</f>
        <v>5</v>
      </c>
      <c r="F333" s="1" t="n">
        <f aca="false">crudos!G333+crudos!H333</f>
        <v>0</v>
      </c>
      <c r="G333" s="1" t="n">
        <f aca="false">crudos!I333+crudos!J333</f>
        <v>0</v>
      </c>
      <c r="H333" s="2" t="n">
        <v>0</v>
      </c>
      <c r="I333" s="1"/>
      <c r="J333" s="1"/>
    </row>
    <row r="334" customFormat="false" ht="15" hidden="false" customHeight="false" outlineLevel="0" collapsed="false">
      <c r="A334" s="4" t="n">
        <v>39115</v>
      </c>
      <c r="B334" s="0" t="s">
        <v>23</v>
      </c>
      <c r="C334" s="1" t="n">
        <v>6</v>
      </c>
      <c r="D334" s="0" t="s">
        <v>14</v>
      </c>
      <c r="E334" s="1" t="n">
        <f aca="false">crudos!E334+crudos!F334</f>
        <v>13</v>
      </c>
      <c r="F334" s="1" t="n">
        <f aca="false">crudos!G334+crudos!H334</f>
        <v>0</v>
      </c>
      <c r="G334" s="1" t="n">
        <f aca="false">crudos!I334+crudos!J334</f>
        <v>0</v>
      </c>
      <c r="H334" s="2"/>
      <c r="I334" s="1"/>
      <c r="J334" s="1"/>
    </row>
    <row r="335" customFormat="false" ht="15" hidden="false" customHeight="false" outlineLevel="0" collapsed="false">
      <c r="A335" s="4" t="n">
        <v>39115</v>
      </c>
      <c r="B335" s="0" t="s">
        <v>23</v>
      </c>
      <c r="C335" s="1" t="n">
        <v>6</v>
      </c>
      <c r="D335" s="0" t="s">
        <v>15</v>
      </c>
      <c r="E335" s="1" t="n">
        <f aca="false">crudos!E335+crudos!F335</f>
        <v>2</v>
      </c>
      <c r="F335" s="1" t="n">
        <f aca="false">crudos!G335+crudos!H335</f>
        <v>2</v>
      </c>
      <c r="G335" s="1" t="n">
        <f aca="false">crudos!I335+crudos!J335</f>
        <v>0</v>
      </c>
      <c r="H335" s="2"/>
      <c r="I335" s="1"/>
      <c r="J335" s="1"/>
    </row>
    <row r="336" customFormat="false" ht="15" hidden="false" customHeight="false" outlineLevel="0" collapsed="false">
      <c r="A336" s="4" t="n">
        <v>39115</v>
      </c>
      <c r="B336" s="0" t="s">
        <v>23</v>
      </c>
      <c r="C336" s="1" t="n">
        <v>6</v>
      </c>
      <c r="D336" s="0" t="s">
        <v>16</v>
      </c>
      <c r="E336" s="1" t="n">
        <f aca="false">crudos!E336+crudos!F336</f>
        <v>0</v>
      </c>
      <c r="F336" s="1" t="n">
        <f aca="false">crudos!G336+crudos!H336</f>
        <v>1</v>
      </c>
      <c r="G336" s="1" t="n">
        <f aca="false">crudos!I336+crudos!J336</f>
        <v>3</v>
      </c>
      <c r="H336" s="2"/>
      <c r="I336" s="1"/>
      <c r="J336" s="1"/>
    </row>
    <row r="337" customFormat="false" ht="15" hidden="false" customHeight="false" outlineLevel="0" collapsed="false">
      <c r="A337" s="4" t="n">
        <v>39115</v>
      </c>
      <c r="B337" s="0" t="s">
        <v>23</v>
      </c>
      <c r="C337" s="1" t="n">
        <v>6</v>
      </c>
      <c r="D337" s="0" t="s">
        <v>17</v>
      </c>
      <c r="E337" s="1" t="n">
        <f aca="false">crudos!E337+crudos!F337</f>
        <v>0</v>
      </c>
      <c r="F337" s="1" t="n">
        <f aca="false">crudos!G337+crudos!H337</f>
        <v>1</v>
      </c>
      <c r="G337" s="1" t="n">
        <f aca="false">crudos!I337+crudos!J337</f>
        <v>9</v>
      </c>
      <c r="H337" s="2"/>
      <c r="I337" s="1"/>
      <c r="J337" s="1"/>
    </row>
    <row r="338" customFormat="false" ht="15" hidden="false" customHeight="false" outlineLevel="0" collapsed="false">
      <c r="A338" s="4" t="n">
        <v>39115</v>
      </c>
      <c r="B338" s="0" t="s">
        <v>23</v>
      </c>
      <c r="C338" s="1" t="n">
        <v>6</v>
      </c>
      <c r="D338" s="0" t="s">
        <v>18</v>
      </c>
      <c r="E338" s="1" t="n">
        <f aca="false">crudos!E338+crudos!F338</f>
        <v>0</v>
      </c>
      <c r="F338" s="1" t="n">
        <f aca="false">crudos!G338+crudos!H338</f>
        <v>0</v>
      </c>
      <c r="G338" s="1" t="n">
        <f aca="false">crudos!I338+crudos!J338</f>
        <v>0</v>
      </c>
      <c r="H338" s="2"/>
      <c r="I338" s="1"/>
      <c r="J338" s="1"/>
    </row>
    <row r="339" customFormat="false" ht="15" hidden="false" customHeight="false" outlineLevel="0" collapsed="false">
      <c r="A339" s="4" t="n">
        <v>39115</v>
      </c>
      <c r="B339" s="0" t="s">
        <v>23</v>
      </c>
      <c r="C339" s="1" t="n">
        <v>7</v>
      </c>
      <c r="D339" s="0" t="s">
        <v>13</v>
      </c>
      <c r="E339" s="1" t="n">
        <f aca="false">crudos!E339+crudos!F339</f>
        <v>3</v>
      </c>
      <c r="F339" s="1" t="n">
        <f aca="false">crudos!G339+crudos!H339</f>
        <v>0</v>
      </c>
      <c r="G339" s="1" t="n">
        <f aca="false">crudos!I339+crudos!J339</f>
        <v>0</v>
      </c>
      <c r="H339" s="2" t="n">
        <v>0</v>
      </c>
      <c r="I339" s="1"/>
      <c r="J339" s="1"/>
    </row>
    <row r="340" customFormat="false" ht="15" hidden="false" customHeight="false" outlineLevel="0" collapsed="false">
      <c r="A340" s="4" t="n">
        <v>39115</v>
      </c>
      <c r="B340" s="0" t="s">
        <v>23</v>
      </c>
      <c r="C340" s="1" t="n">
        <v>7</v>
      </c>
      <c r="D340" s="0" t="s">
        <v>14</v>
      </c>
      <c r="E340" s="1" t="n">
        <f aca="false">crudos!E340+crudos!F340</f>
        <v>27</v>
      </c>
      <c r="F340" s="1" t="n">
        <f aca="false">crudos!G340+crudos!H340</f>
        <v>3</v>
      </c>
      <c r="G340" s="1" t="n">
        <f aca="false">crudos!I340+crudos!J340</f>
        <v>0</v>
      </c>
      <c r="H340" s="2"/>
      <c r="I340" s="1"/>
      <c r="J340" s="1"/>
    </row>
    <row r="341" customFormat="false" ht="15" hidden="false" customHeight="false" outlineLevel="0" collapsed="false">
      <c r="A341" s="4" t="n">
        <v>39115</v>
      </c>
      <c r="B341" s="0" t="s">
        <v>23</v>
      </c>
      <c r="C341" s="1" t="n">
        <v>7</v>
      </c>
      <c r="D341" s="0" t="s">
        <v>15</v>
      </c>
      <c r="E341" s="1" t="n">
        <f aca="false">crudos!E341+crudos!F341</f>
        <v>0</v>
      </c>
      <c r="F341" s="1" t="n">
        <f aca="false">crudos!G341+crudos!H341</f>
        <v>2</v>
      </c>
      <c r="G341" s="1" t="n">
        <f aca="false">crudos!I341+crudos!J341</f>
        <v>0</v>
      </c>
      <c r="H341" s="2"/>
      <c r="I341" s="1"/>
      <c r="J341" s="1"/>
    </row>
    <row r="342" customFormat="false" ht="15" hidden="false" customHeight="false" outlineLevel="0" collapsed="false">
      <c r="A342" s="4" t="n">
        <v>39115</v>
      </c>
      <c r="B342" s="0" t="s">
        <v>23</v>
      </c>
      <c r="C342" s="1" t="n">
        <v>7</v>
      </c>
      <c r="D342" s="0" t="s">
        <v>16</v>
      </c>
      <c r="E342" s="1" t="n">
        <f aca="false">crudos!E342+crudos!F342</f>
        <v>0</v>
      </c>
      <c r="F342" s="1" t="n">
        <f aca="false">crudos!G342+crudos!H342</f>
        <v>2</v>
      </c>
      <c r="G342" s="1" t="n">
        <f aca="false">crudos!I342+crudos!J342</f>
        <v>5</v>
      </c>
      <c r="H342" s="2"/>
      <c r="I342" s="1"/>
      <c r="J342" s="1"/>
    </row>
    <row r="343" customFormat="false" ht="15" hidden="false" customHeight="false" outlineLevel="0" collapsed="false">
      <c r="A343" s="4" t="n">
        <v>39115</v>
      </c>
      <c r="B343" s="0" t="s">
        <v>23</v>
      </c>
      <c r="C343" s="1" t="n">
        <v>7</v>
      </c>
      <c r="D343" s="0" t="s">
        <v>17</v>
      </c>
      <c r="E343" s="1" t="n">
        <f aca="false">crudos!E343+crudos!F343</f>
        <v>0</v>
      </c>
      <c r="F343" s="1" t="n">
        <f aca="false">crudos!G343+crudos!H343</f>
        <v>5</v>
      </c>
      <c r="G343" s="1" t="n">
        <f aca="false">crudos!I343+crudos!J343</f>
        <v>13</v>
      </c>
      <c r="H343" s="2"/>
      <c r="I343" s="1"/>
      <c r="J343" s="1"/>
    </row>
    <row r="344" customFormat="false" ht="15" hidden="false" customHeight="false" outlineLevel="0" collapsed="false">
      <c r="A344" s="4" t="n">
        <v>39115</v>
      </c>
      <c r="B344" s="0" t="s">
        <v>23</v>
      </c>
      <c r="C344" s="1" t="n">
        <v>7</v>
      </c>
      <c r="D344" s="0" t="s">
        <v>18</v>
      </c>
      <c r="E344" s="1" t="n">
        <f aca="false">crudos!E344+crudos!F344</f>
        <v>0</v>
      </c>
      <c r="F344" s="1" t="n">
        <f aca="false">crudos!G344+crudos!H344</f>
        <v>0</v>
      </c>
      <c r="G344" s="1" t="n">
        <f aca="false">crudos!I344+crudos!J344</f>
        <v>0</v>
      </c>
      <c r="H344" s="2"/>
      <c r="I344" s="1"/>
      <c r="J344" s="1"/>
    </row>
    <row r="345" customFormat="false" ht="15" hidden="false" customHeight="false" outlineLevel="0" collapsed="false">
      <c r="A345" s="4" t="n">
        <v>39115</v>
      </c>
      <c r="B345" s="0" t="s">
        <v>23</v>
      </c>
      <c r="C345" s="1" t="n">
        <v>8</v>
      </c>
      <c r="D345" s="0" t="s">
        <v>13</v>
      </c>
      <c r="E345" s="1" t="n">
        <f aca="false">crudos!E345+crudos!F345</f>
        <v>14</v>
      </c>
      <c r="F345" s="1" t="n">
        <f aca="false">crudos!G345+crudos!H345</f>
        <v>0</v>
      </c>
      <c r="G345" s="1" t="n">
        <f aca="false">crudos!I345+crudos!J345</f>
        <v>0</v>
      </c>
      <c r="H345" s="2" t="n">
        <v>0</v>
      </c>
      <c r="I345" s="1"/>
      <c r="J345" s="1"/>
    </row>
    <row r="346" customFormat="false" ht="15" hidden="false" customHeight="false" outlineLevel="0" collapsed="false">
      <c r="A346" s="4" t="n">
        <v>39115</v>
      </c>
      <c r="B346" s="0" t="s">
        <v>23</v>
      </c>
      <c r="C346" s="1" t="n">
        <v>8</v>
      </c>
      <c r="D346" s="0" t="s">
        <v>14</v>
      </c>
      <c r="E346" s="1" t="n">
        <f aca="false">crudos!E346+crudos!F346</f>
        <v>18</v>
      </c>
      <c r="F346" s="1" t="n">
        <f aca="false">crudos!G346+crudos!H346</f>
        <v>1</v>
      </c>
      <c r="G346" s="1" t="n">
        <f aca="false">crudos!I346+crudos!J346</f>
        <v>0</v>
      </c>
      <c r="H346" s="2"/>
      <c r="I346" s="1"/>
      <c r="J346" s="1"/>
    </row>
    <row r="347" customFormat="false" ht="15" hidden="false" customHeight="false" outlineLevel="0" collapsed="false">
      <c r="A347" s="4" t="n">
        <v>39115</v>
      </c>
      <c r="B347" s="0" t="s">
        <v>23</v>
      </c>
      <c r="C347" s="1" t="n">
        <v>8</v>
      </c>
      <c r="D347" s="0" t="s">
        <v>15</v>
      </c>
      <c r="E347" s="1" t="n">
        <f aca="false">crudos!E347+crudos!F347</f>
        <v>1</v>
      </c>
      <c r="F347" s="1" t="n">
        <f aca="false">crudos!G347+crudos!H347</f>
        <v>6</v>
      </c>
      <c r="G347" s="1" t="n">
        <f aca="false">crudos!I347+crudos!J347</f>
        <v>0</v>
      </c>
      <c r="H347" s="2"/>
      <c r="I347" s="1"/>
      <c r="J347" s="1"/>
    </row>
    <row r="348" customFormat="false" ht="15" hidden="false" customHeight="false" outlineLevel="0" collapsed="false">
      <c r="A348" s="4" t="n">
        <v>39115</v>
      </c>
      <c r="B348" s="0" t="s">
        <v>23</v>
      </c>
      <c r="C348" s="1" t="n">
        <v>8</v>
      </c>
      <c r="D348" s="0" t="s">
        <v>16</v>
      </c>
      <c r="E348" s="1" t="n">
        <f aca="false">crudos!E348+crudos!F348</f>
        <v>8</v>
      </c>
      <c r="F348" s="1" t="n">
        <f aca="false">crudos!G348+crudos!H348</f>
        <v>0</v>
      </c>
      <c r="G348" s="1" t="n">
        <f aca="false">crudos!I348+crudos!J348</f>
        <v>0</v>
      </c>
      <c r="H348" s="2"/>
      <c r="I348" s="1"/>
      <c r="J348" s="1"/>
    </row>
    <row r="349" customFormat="false" ht="15" hidden="false" customHeight="false" outlineLevel="0" collapsed="false">
      <c r="A349" s="4" t="n">
        <v>39115</v>
      </c>
      <c r="B349" s="0" t="s">
        <v>23</v>
      </c>
      <c r="C349" s="1" t="n">
        <v>8</v>
      </c>
      <c r="D349" s="0" t="s">
        <v>17</v>
      </c>
      <c r="E349" s="1" t="n">
        <f aca="false">crudos!E349+crudos!F349</f>
        <v>0</v>
      </c>
      <c r="F349" s="1" t="n">
        <f aca="false">crudos!G349+crudos!H349</f>
        <v>2</v>
      </c>
      <c r="G349" s="1" t="n">
        <f aca="false">crudos!I349+crudos!J349</f>
        <v>8</v>
      </c>
      <c r="H349" s="2"/>
      <c r="I349" s="1"/>
      <c r="J349" s="1"/>
    </row>
    <row r="350" customFormat="false" ht="15" hidden="false" customHeight="false" outlineLevel="0" collapsed="false">
      <c r="A350" s="4" t="n">
        <v>39115</v>
      </c>
      <c r="B350" s="0" t="s">
        <v>23</v>
      </c>
      <c r="C350" s="1" t="n">
        <v>8</v>
      </c>
      <c r="D350" s="0" t="s">
        <v>18</v>
      </c>
      <c r="E350" s="1" t="n">
        <f aca="false">crudos!E350+crudos!F350</f>
        <v>0</v>
      </c>
      <c r="F350" s="1" t="n">
        <f aca="false">crudos!G350+crudos!H350</f>
        <v>0</v>
      </c>
      <c r="G350" s="1" t="n">
        <f aca="false">crudos!I350+crudos!J350</f>
        <v>0</v>
      </c>
      <c r="H350" s="2"/>
      <c r="I350" s="1"/>
      <c r="J350" s="1"/>
    </row>
    <row r="351" customFormat="false" ht="15" hidden="false" customHeight="false" outlineLevel="0" collapsed="false">
      <c r="A351" s="4" t="n">
        <v>39116</v>
      </c>
      <c r="B351" s="0" t="s">
        <v>23</v>
      </c>
      <c r="C351" s="1" t="n">
        <v>9</v>
      </c>
      <c r="D351" s="0" t="s">
        <v>13</v>
      </c>
      <c r="E351" s="1" t="n">
        <f aca="false">crudos!E351+crudos!F351</f>
        <v>9</v>
      </c>
      <c r="F351" s="1" t="n">
        <f aca="false">crudos!G351+crudos!H351</f>
        <v>0</v>
      </c>
      <c r="G351" s="1" t="n">
        <f aca="false">crudos!I351+crudos!J351</f>
        <v>0</v>
      </c>
      <c r="H351" s="2" t="n">
        <v>0</v>
      </c>
      <c r="I351" s="1"/>
      <c r="J351" s="1"/>
    </row>
    <row r="352" customFormat="false" ht="15" hidden="false" customHeight="false" outlineLevel="0" collapsed="false">
      <c r="A352" s="4" t="n">
        <v>39116</v>
      </c>
      <c r="B352" s="0" t="s">
        <v>23</v>
      </c>
      <c r="C352" s="1" t="n">
        <v>9</v>
      </c>
      <c r="D352" s="0" t="s">
        <v>14</v>
      </c>
      <c r="E352" s="1" t="n">
        <f aca="false">crudos!E352+crudos!F352</f>
        <v>2</v>
      </c>
      <c r="F352" s="1" t="n">
        <f aca="false">crudos!G352+crudos!H352</f>
        <v>0</v>
      </c>
      <c r="G352" s="1" t="n">
        <f aca="false">crudos!I352+crudos!J352</f>
        <v>0</v>
      </c>
      <c r="H352" s="2"/>
      <c r="I352" s="1"/>
      <c r="J352" s="1"/>
    </row>
    <row r="353" customFormat="false" ht="15" hidden="false" customHeight="false" outlineLevel="0" collapsed="false">
      <c r="A353" s="4" t="n">
        <v>39116</v>
      </c>
      <c r="B353" s="0" t="s">
        <v>23</v>
      </c>
      <c r="C353" s="1" t="n">
        <v>9</v>
      </c>
      <c r="D353" s="0" t="s">
        <v>15</v>
      </c>
      <c r="E353" s="1" t="n">
        <f aca="false">crudos!E353+crudos!F353</f>
        <v>0</v>
      </c>
      <c r="F353" s="1" t="n">
        <f aca="false">crudos!G353+crudos!H353</f>
        <v>0</v>
      </c>
      <c r="G353" s="1" t="n">
        <f aca="false">crudos!I353+crudos!J353</f>
        <v>1</v>
      </c>
      <c r="H353" s="2"/>
      <c r="I353" s="1"/>
      <c r="J353" s="1"/>
    </row>
    <row r="354" customFormat="false" ht="15" hidden="false" customHeight="false" outlineLevel="0" collapsed="false">
      <c r="A354" s="4" t="n">
        <v>39116</v>
      </c>
      <c r="B354" s="0" t="s">
        <v>23</v>
      </c>
      <c r="C354" s="1" t="n">
        <v>9</v>
      </c>
      <c r="D354" s="0" t="s">
        <v>16</v>
      </c>
      <c r="E354" s="1" t="n">
        <f aca="false">crudos!E354+crudos!F354</f>
        <v>0</v>
      </c>
      <c r="F354" s="1" t="n">
        <f aca="false">crudos!G354+crudos!H354</f>
        <v>0</v>
      </c>
      <c r="G354" s="1" t="n">
        <f aca="false">crudos!I354+crudos!J354</f>
        <v>2</v>
      </c>
      <c r="H354" s="2"/>
      <c r="I354" s="1"/>
      <c r="J354" s="1"/>
    </row>
    <row r="355" customFormat="false" ht="15" hidden="false" customHeight="false" outlineLevel="0" collapsed="false">
      <c r="A355" s="4" t="n">
        <v>39116</v>
      </c>
      <c r="B355" s="0" t="s">
        <v>23</v>
      </c>
      <c r="C355" s="1" t="n">
        <v>9</v>
      </c>
      <c r="D355" s="0" t="s">
        <v>17</v>
      </c>
      <c r="E355" s="1" t="n">
        <f aca="false">crudos!E355+crudos!F355</f>
        <v>0</v>
      </c>
      <c r="F355" s="1" t="n">
        <f aca="false">crudos!G355+crudos!H355</f>
        <v>0</v>
      </c>
      <c r="G355" s="1" t="n">
        <f aca="false">crudos!I355+crudos!J355</f>
        <v>0</v>
      </c>
      <c r="H355" s="2"/>
      <c r="I355" s="1"/>
      <c r="J355" s="1"/>
    </row>
    <row r="356" customFormat="false" ht="15" hidden="false" customHeight="false" outlineLevel="0" collapsed="false">
      <c r="A356" s="4" t="n">
        <v>39116</v>
      </c>
      <c r="B356" s="0" t="s">
        <v>23</v>
      </c>
      <c r="C356" s="1" t="n">
        <v>9</v>
      </c>
      <c r="D356" s="0" t="s">
        <v>18</v>
      </c>
      <c r="E356" s="1" t="n">
        <f aca="false">crudos!E356+crudos!F356</f>
        <v>6</v>
      </c>
      <c r="F356" s="1" t="n">
        <f aca="false">crudos!G356+crudos!H356</f>
        <v>5</v>
      </c>
      <c r="G356" s="1" t="n">
        <f aca="false">crudos!I356+crudos!J356</f>
        <v>0</v>
      </c>
      <c r="H356" s="2"/>
      <c r="I356" s="1"/>
      <c r="J356" s="1"/>
    </row>
    <row r="357" customFormat="false" ht="15" hidden="false" customHeight="false" outlineLevel="0" collapsed="false">
      <c r="A357" s="4" t="n">
        <v>39116</v>
      </c>
      <c r="B357" s="0" t="s">
        <v>23</v>
      </c>
      <c r="C357" s="1" t="n">
        <v>10</v>
      </c>
      <c r="D357" s="0" t="s">
        <v>13</v>
      </c>
      <c r="E357" s="1" t="n">
        <f aca="false">crudos!E357+crudos!F357</f>
        <v>3</v>
      </c>
      <c r="F357" s="1" t="n">
        <f aca="false">crudos!G357+crudos!H357</f>
        <v>0</v>
      </c>
      <c r="G357" s="1" t="n">
        <f aca="false">crudos!I357+crudos!J357</f>
        <v>0</v>
      </c>
      <c r="H357" s="2" t="n">
        <v>0</v>
      </c>
      <c r="I357" s="1"/>
      <c r="J357" s="1"/>
    </row>
    <row r="358" customFormat="false" ht="15" hidden="false" customHeight="false" outlineLevel="0" collapsed="false">
      <c r="A358" s="4" t="n">
        <v>39116</v>
      </c>
      <c r="B358" s="0" t="s">
        <v>23</v>
      </c>
      <c r="C358" s="1" t="n">
        <v>10</v>
      </c>
      <c r="D358" s="0" t="s">
        <v>14</v>
      </c>
      <c r="E358" s="1" t="n">
        <f aca="false">crudos!E358+crudos!F358</f>
        <v>11</v>
      </c>
      <c r="F358" s="1" t="n">
        <f aca="false">crudos!G358+crudos!H358</f>
        <v>0</v>
      </c>
      <c r="G358" s="1" t="n">
        <f aca="false">crudos!I358+crudos!J358</f>
        <v>0</v>
      </c>
      <c r="H358" s="1"/>
      <c r="I358" s="1"/>
      <c r="J358" s="1"/>
    </row>
    <row r="359" customFormat="false" ht="15" hidden="false" customHeight="false" outlineLevel="0" collapsed="false">
      <c r="A359" s="4" t="n">
        <v>39116</v>
      </c>
      <c r="B359" s="0" t="s">
        <v>23</v>
      </c>
      <c r="C359" s="1" t="n">
        <v>10</v>
      </c>
      <c r="D359" s="0" t="s">
        <v>15</v>
      </c>
      <c r="E359" s="1" t="n">
        <f aca="false">crudos!E359+crudos!F359</f>
        <v>6</v>
      </c>
      <c r="F359" s="1" t="n">
        <f aca="false">crudos!G359+crudos!H359</f>
        <v>7</v>
      </c>
      <c r="G359" s="1" t="n">
        <f aca="false">crudos!I359+crudos!J359</f>
        <v>2</v>
      </c>
      <c r="H359" s="1"/>
      <c r="I359" s="1"/>
      <c r="J359" s="1"/>
    </row>
    <row r="360" customFormat="false" ht="15" hidden="false" customHeight="false" outlineLevel="0" collapsed="false">
      <c r="A360" s="4" t="n">
        <v>39116</v>
      </c>
      <c r="B360" s="0" t="s">
        <v>23</v>
      </c>
      <c r="C360" s="1" t="n">
        <v>10</v>
      </c>
      <c r="D360" s="0" t="s">
        <v>16</v>
      </c>
      <c r="E360" s="1" t="n">
        <f aca="false">crudos!E360+crudos!F360</f>
        <v>1</v>
      </c>
      <c r="F360" s="1" t="n">
        <f aca="false">crudos!G360+crudos!H360</f>
        <v>0</v>
      </c>
      <c r="G360" s="1" t="n">
        <f aca="false">crudos!I360+crudos!J360</f>
        <v>0</v>
      </c>
      <c r="H360" s="1"/>
      <c r="I360" s="1"/>
      <c r="J360" s="1"/>
    </row>
    <row r="361" customFormat="false" ht="15" hidden="false" customHeight="false" outlineLevel="0" collapsed="false">
      <c r="A361" s="4" t="n">
        <v>39116</v>
      </c>
      <c r="B361" s="0" t="s">
        <v>23</v>
      </c>
      <c r="C361" s="1" t="n">
        <v>10</v>
      </c>
      <c r="D361" s="0" t="s">
        <v>17</v>
      </c>
      <c r="E361" s="1" t="n">
        <f aca="false">crudos!E361+crudos!F361</f>
        <v>3</v>
      </c>
      <c r="F361" s="1" t="n">
        <f aca="false">crudos!G361+crudos!H361</f>
        <v>4</v>
      </c>
      <c r="G361" s="1" t="n">
        <f aca="false">crudos!I361+crudos!J361</f>
        <v>2</v>
      </c>
      <c r="H361" s="1"/>
      <c r="I361" s="1"/>
      <c r="J361" s="1"/>
    </row>
    <row r="362" customFormat="false" ht="15" hidden="false" customHeight="false" outlineLevel="0" collapsed="false">
      <c r="A362" s="4" t="n">
        <v>39116</v>
      </c>
      <c r="B362" s="0" t="s">
        <v>23</v>
      </c>
      <c r="C362" s="1" t="n">
        <v>10</v>
      </c>
      <c r="D362" s="0" t="s">
        <v>18</v>
      </c>
      <c r="E362" s="1" t="n">
        <f aca="false">crudos!E362+crudos!F362</f>
        <v>0</v>
      </c>
      <c r="F362" s="1" t="n">
        <f aca="false">crudos!G362+crudos!H362</f>
        <v>0</v>
      </c>
      <c r="G362" s="1" t="n">
        <f aca="false">crudos!I362+crudos!J362</f>
        <v>0</v>
      </c>
      <c r="H362" s="1"/>
      <c r="I362" s="1"/>
      <c r="J362" s="1"/>
    </row>
  </sheetData>
  <mergeCells count="1">
    <mergeCell ref="E1:G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7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X4" activeCellId="0" sqref="X4"/>
    </sheetView>
  </sheetViews>
  <sheetFormatPr defaultColWidth="10.515625" defaultRowHeight="15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16.71"/>
    <col collapsed="false" customWidth="true" hidden="false" outlineLevel="0" max="3" min="3" style="0" width="2.99"/>
    <col collapsed="false" customWidth="true" hidden="false" outlineLevel="0" max="4" min="4" style="0" width="6.57"/>
    <col collapsed="false" customWidth="true" hidden="false" outlineLevel="0" max="5" min="5" style="0" width="6.01"/>
    <col collapsed="false" customWidth="true" hidden="false" outlineLevel="0" max="6" min="6" style="0" width="5.01"/>
    <col collapsed="false" customWidth="true" hidden="false" outlineLevel="0" max="8" min="7" style="0" width="5.57"/>
    <col collapsed="false" customWidth="true" hidden="false" outlineLevel="0" max="9" min="9" style="0" width="4.71"/>
    <col collapsed="false" customWidth="true" hidden="false" outlineLevel="0" max="10" min="10" style="0" width="2"/>
    <col collapsed="false" customWidth="true" hidden="false" outlineLevel="0" max="11" min="11" style="0" width="2.99"/>
    <col collapsed="false" customWidth="true" hidden="false" outlineLevel="0" max="12" min="12" style="0" width="13.57"/>
    <col collapsed="false" customWidth="true" hidden="false" outlineLevel="0" max="13" min="13" style="0" width="6.15"/>
    <col collapsed="false" customWidth="true" hidden="false" outlineLevel="0" max="14" min="14" style="0" width="2.99"/>
    <col collapsed="false" customWidth="true" hidden="false" outlineLevel="0" max="15" min="15" style="0" width="7.42"/>
    <col collapsed="false" customWidth="true" hidden="false" outlineLevel="0" max="16" min="16" style="0" width="6.01"/>
    <col collapsed="false" customWidth="true" hidden="false" outlineLevel="0" max="17" min="17" style="0" width="2.71"/>
    <col collapsed="false" customWidth="true" hidden="false" outlineLevel="0" max="18" min="18" style="0" width="2.99"/>
    <col collapsed="false" customWidth="true" hidden="false" outlineLevel="0" max="19" min="19" style="0" width="7.57"/>
    <col collapsed="false" customWidth="true" hidden="false" outlineLevel="0" max="20" min="20" style="0" width="2.99"/>
    <col collapsed="false" customWidth="true" hidden="false" outlineLevel="0" max="21" min="21" style="0" width="10.99"/>
    <col collapsed="false" customWidth="true" hidden="false" outlineLevel="0" max="22" min="22" style="0" width="12.57"/>
    <col collapsed="false" customWidth="true" hidden="false" outlineLevel="0" max="24" min="24" style="0" width="14.01"/>
    <col collapsed="false" customWidth="true" hidden="false" outlineLevel="0" max="25" min="25" style="0" width="14.28"/>
  </cols>
  <sheetData>
    <row r="1" customFormat="false" ht="15" hidden="false" customHeight="false" outlineLevel="0" collapsed="false">
      <c r="A1" s="53" t="s">
        <v>140</v>
      </c>
      <c r="L1" s="53" t="s">
        <v>52</v>
      </c>
      <c r="V1" s="53" t="s">
        <v>155</v>
      </c>
    </row>
    <row r="2" customFormat="false" ht="15" hidden="false" customHeight="false" outlineLevel="0" collapsed="false">
      <c r="X2" s="61" t="s">
        <v>156</v>
      </c>
      <c r="Y2" s="61" t="s">
        <v>157</v>
      </c>
      <c r="Z2" s="0" t="s">
        <v>158</v>
      </c>
      <c r="AA2" s="0" t="s">
        <v>159</v>
      </c>
      <c r="AB2" s="0" t="s">
        <v>160</v>
      </c>
    </row>
    <row r="3" customFormat="false" ht="15" hidden="false" customHeight="false" outlineLevel="0" collapsed="false">
      <c r="A3" s="0" t="s">
        <v>2</v>
      </c>
      <c r="B3" s="0" t="s">
        <v>141</v>
      </c>
      <c r="C3" s="0" t="s">
        <v>142</v>
      </c>
      <c r="D3" s="0" t="s">
        <v>143</v>
      </c>
      <c r="E3" s="0" t="s">
        <v>108</v>
      </c>
      <c r="F3" s="0" t="s">
        <v>82</v>
      </c>
      <c r="G3" s="0" t="s">
        <v>144</v>
      </c>
      <c r="H3" s="0" t="s">
        <v>145</v>
      </c>
      <c r="V3" s="0" t="s">
        <v>26</v>
      </c>
      <c r="W3" s="1" t="s">
        <v>161</v>
      </c>
      <c r="X3" s="62" t="s">
        <v>162</v>
      </c>
      <c r="Y3" s="62" t="s">
        <v>162</v>
      </c>
      <c r="Z3" s="62" t="s">
        <v>162</v>
      </c>
      <c r="AA3" s="62" t="s">
        <v>162</v>
      </c>
      <c r="AB3" s="62" t="s">
        <v>162</v>
      </c>
    </row>
    <row r="4" customFormat="false" ht="15" hidden="false" customHeight="false" outlineLevel="0" collapsed="false">
      <c r="A4" s="0" t="s">
        <v>35</v>
      </c>
      <c r="B4" s="0" t="s">
        <v>146</v>
      </c>
      <c r="C4" s="0" t="n">
        <v>10</v>
      </c>
      <c r="D4" s="0" t="n">
        <v>25.3</v>
      </c>
      <c r="E4" s="0" t="n">
        <v>7.5</v>
      </c>
      <c r="F4" s="0" t="n">
        <v>2.37</v>
      </c>
      <c r="G4" s="0" t="n">
        <v>11</v>
      </c>
      <c r="H4" s="0" t="n">
        <v>37</v>
      </c>
      <c r="L4" s="0" t="s">
        <v>163</v>
      </c>
      <c r="M4" s="0" t="s">
        <v>2</v>
      </c>
      <c r="N4" s="0" t="s">
        <v>55</v>
      </c>
      <c r="O4" s="0" t="s">
        <v>56</v>
      </c>
      <c r="P4" s="0" t="s">
        <v>108</v>
      </c>
      <c r="Q4" s="0" t="s">
        <v>58</v>
      </c>
      <c r="R4" s="0" t="s">
        <v>59</v>
      </c>
      <c r="S4" s="0" t="s">
        <v>109</v>
      </c>
      <c r="V4" s="0" t="s">
        <v>23</v>
      </c>
      <c r="W4" s="0" t="n">
        <v>10</v>
      </c>
      <c r="X4" s="0" t="s">
        <v>164</v>
      </c>
      <c r="Y4" s="0" t="s">
        <v>165</v>
      </c>
      <c r="Z4" s="63" t="s">
        <v>166</v>
      </c>
      <c r="AA4" s="0" t="s">
        <v>167</v>
      </c>
      <c r="AB4" s="63" t="s">
        <v>168</v>
      </c>
    </row>
    <row r="5" customFormat="false" ht="15" hidden="false" customHeight="false" outlineLevel="0" collapsed="false">
      <c r="A5" s="0" t="s">
        <v>35</v>
      </c>
      <c r="B5" s="0" t="s">
        <v>147</v>
      </c>
      <c r="C5" s="0" t="n">
        <v>10</v>
      </c>
      <c r="D5" s="0" t="n">
        <v>6.6</v>
      </c>
      <c r="E5" s="0" t="n">
        <v>5.42</v>
      </c>
      <c r="F5" s="0" t="n">
        <v>1.71</v>
      </c>
      <c r="G5" s="0" t="n">
        <v>0</v>
      </c>
      <c r="H5" s="0" t="n">
        <v>19</v>
      </c>
      <c r="L5" s="0" t="s">
        <v>169</v>
      </c>
      <c r="M5" s="0" t="s">
        <v>35</v>
      </c>
      <c r="N5" s="0" t="n">
        <v>10</v>
      </c>
      <c r="O5" s="0" t="n">
        <v>25.3</v>
      </c>
      <c r="P5" s="0" t="n">
        <v>7.5</v>
      </c>
      <c r="Q5" s="0" t="n">
        <v>5</v>
      </c>
      <c r="R5" s="0" t="n">
        <v>45.49</v>
      </c>
      <c r="S5" s="0" t="s">
        <v>111</v>
      </c>
      <c r="V5" s="0" t="s">
        <v>22</v>
      </c>
      <c r="W5" s="0" t="n">
        <v>10</v>
      </c>
      <c r="X5" s="0" t="s">
        <v>170</v>
      </c>
      <c r="Y5" s="0" t="s">
        <v>171</v>
      </c>
      <c r="Z5" s="0" t="s">
        <v>172</v>
      </c>
      <c r="AA5" s="0" t="s">
        <v>173</v>
      </c>
      <c r="AB5" s="63" t="s">
        <v>174</v>
      </c>
    </row>
    <row r="6" customFormat="false" ht="15" hidden="false" customHeight="false" outlineLevel="0" collapsed="false">
      <c r="A6" s="0" t="s">
        <v>35</v>
      </c>
      <c r="B6" s="0" t="s">
        <v>148</v>
      </c>
      <c r="C6" s="0" t="n">
        <v>10</v>
      </c>
      <c r="D6" s="0" t="n">
        <v>5.6</v>
      </c>
      <c r="E6" s="0" t="n">
        <v>3.92</v>
      </c>
      <c r="F6" s="0" t="n">
        <v>1.24</v>
      </c>
      <c r="G6" s="0" t="n">
        <v>0</v>
      </c>
      <c r="H6" s="0" t="n">
        <v>12</v>
      </c>
      <c r="L6" s="0" t="s">
        <v>169</v>
      </c>
      <c r="M6" s="0" t="s">
        <v>37</v>
      </c>
      <c r="N6" s="0" t="n">
        <v>10</v>
      </c>
      <c r="O6" s="0" t="n">
        <v>1.6</v>
      </c>
      <c r="P6" s="0" t="n">
        <v>2.07</v>
      </c>
      <c r="Q6" s="0" t="s">
        <v>64</v>
      </c>
      <c r="R6" s="0" t="s">
        <v>65</v>
      </c>
      <c r="S6" s="0" t="s">
        <v>105</v>
      </c>
      <c r="V6" s="0" t="s">
        <v>21</v>
      </c>
      <c r="W6" s="0" t="n">
        <v>10</v>
      </c>
      <c r="X6" s="0" t="s">
        <v>175</v>
      </c>
      <c r="Y6" s="0" t="s">
        <v>176</v>
      </c>
      <c r="Z6" s="63" t="s">
        <v>177</v>
      </c>
      <c r="AA6" s="63" t="s">
        <v>178</v>
      </c>
      <c r="AB6" s="63" t="s">
        <v>179</v>
      </c>
    </row>
    <row r="7" customFormat="false" ht="15" hidden="false" customHeight="false" outlineLevel="0" collapsed="false">
      <c r="A7" s="0" t="s">
        <v>35</v>
      </c>
      <c r="B7" s="0" t="s">
        <v>149</v>
      </c>
      <c r="C7" s="0" t="n">
        <v>10</v>
      </c>
      <c r="D7" s="0" t="n">
        <v>37.5</v>
      </c>
      <c r="E7" s="0" t="n">
        <v>8.76</v>
      </c>
      <c r="F7" s="0" t="n">
        <v>2.77</v>
      </c>
      <c r="G7" s="0" t="n">
        <v>25</v>
      </c>
      <c r="H7" s="0" t="n">
        <v>52</v>
      </c>
      <c r="L7" s="0" t="s">
        <v>169</v>
      </c>
      <c r="M7" s="0" t="s">
        <v>39</v>
      </c>
      <c r="N7" s="0" t="n">
        <v>10</v>
      </c>
      <c r="O7" s="0" t="n">
        <v>16.5</v>
      </c>
      <c r="P7" s="0" t="n">
        <v>8.07</v>
      </c>
      <c r="Q7" s="0" t="s">
        <v>64</v>
      </c>
      <c r="R7" s="0" t="s">
        <v>65</v>
      </c>
      <c r="S7" s="0" t="s">
        <v>105</v>
      </c>
      <c r="V7" s="0" t="s">
        <v>20</v>
      </c>
      <c r="W7" s="0" t="n">
        <v>10</v>
      </c>
      <c r="X7" s="0" t="s">
        <v>180</v>
      </c>
      <c r="Y7" s="0" t="s">
        <v>181</v>
      </c>
      <c r="Z7" s="64" t="s">
        <v>182</v>
      </c>
      <c r="AA7" s="0" t="s">
        <v>183</v>
      </c>
      <c r="AB7" s="63" t="s">
        <v>184</v>
      </c>
    </row>
    <row r="8" customFormat="false" ht="15" hidden="false" customHeight="false" outlineLevel="0" collapsed="false">
      <c r="A8" s="0" t="s">
        <v>35</v>
      </c>
      <c r="B8" s="0" t="s">
        <v>150</v>
      </c>
      <c r="C8" s="0" t="n">
        <v>10</v>
      </c>
      <c r="D8" s="0" t="n">
        <v>0.5</v>
      </c>
      <c r="E8" s="0" t="n">
        <v>0.85</v>
      </c>
      <c r="F8" s="0" t="n">
        <v>0.27</v>
      </c>
      <c r="G8" s="0" t="n">
        <v>0</v>
      </c>
      <c r="H8" s="0" t="n">
        <v>2</v>
      </c>
      <c r="L8" s="0" t="s">
        <v>169</v>
      </c>
      <c r="M8" s="0" t="s">
        <v>34</v>
      </c>
      <c r="N8" s="0" t="n">
        <v>10</v>
      </c>
      <c r="O8" s="0" t="n">
        <v>33.9</v>
      </c>
      <c r="P8" s="0" t="n">
        <v>13.97</v>
      </c>
      <c r="Q8" s="0" t="s">
        <v>64</v>
      </c>
      <c r="R8" s="0" t="s">
        <v>65</v>
      </c>
      <c r="S8" s="0" t="s">
        <v>105</v>
      </c>
      <c r="V8" s="0" t="s">
        <v>19</v>
      </c>
      <c r="W8" s="0" t="n">
        <v>10</v>
      </c>
      <c r="X8" s="0" t="s">
        <v>185</v>
      </c>
      <c r="Y8" s="0" t="s">
        <v>186</v>
      </c>
      <c r="Z8" s="63" t="s">
        <v>187</v>
      </c>
      <c r="AA8" s="63" t="s">
        <v>188</v>
      </c>
      <c r="AB8" s="63" t="s">
        <v>189</v>
      </c>
    </row>
    <row r="9" customFormat="false" ht="15" hidden="false" customHeight="false" outlineLevel="0" collapsed="false">
      <c r="A9" s="0" t="s">
        <v>35</v>
      </c>
      <c r="B9" s="0" t="s">
        <v>151</v>
      </c>
      <c r="C9" s="0" t="n">
        <v>10</v>
      </c>
      <c r="D9" s="0" t="n">
        <v>24.8</v>
      </c>
      <c r="E9" s="0" t="n">
        <v>7.77</v>
      </c>
      <c r="F9" s="0" t="n">
        <v>2.46</v>
      </c>
      <c r="G9" s="0" t="n">
        <v>11</v>
      </c>
      <c r="H9" s="0" t="n">
        <v>37</v>
      </c>
      <c r="L9" s="0" t="s">
        <v>169</v>
      </c>
      <c r="M9" s="0" t="s">
        <v>36</v>
      </c>
      <c r="N9" s="0" t="n">
        <v>10</v>
      </c>
      <c r="O9" s="0" t="n">
        <v>15.4</v>
      </c>
      <c r="P9" s="0" t="n">
        <v>4.09</v>
      </c>
      <c r="Q9" s="0" t="s">
        <v>64</v>
      </c>
      <c r="R9" s="0" t="s">
        <v>65</v>
      </c>
      <c r="S9" s="0" t="s">
        <v>105</v>
      </c>
      <c r="V9" s="0" t="s">
        <v>12</v>
      </c>
      <c r="W9" s="0" t="n">
        <v>10</v>
      </c>
      <c r="X9" s="0" t="s">
        <v>190</v>
      </c>
      <c r="Y9" s="0" t="s">
        <v>191</v>
      </c>
      <c r="Z9" s="63" t="s">
        <v>192</v>
      </c>
      <c r="AA9" s="0" t="s">
        <v>193</v>
      </c>
      <c r="AB9" s="63" t="s">
        <v>194</v>
      </c>
    </row>
    <row r="10" customFormat="false" ht="15" hidden="false" customHeight="false" outlineLevel="0" collapsed="false">
      <c r="A10" s="0" t="s">
        <v>35</v>
      </c>
      <c r="B10" s="0" t="s">
        <v>152</v>
      </c>
      <c r="C10" s="0" t="n">
        <v>10</v>
      </c>
      <c r="D10" s="0" t="n">
        <v>6.1</v>
      </c>
      <c r="E10" s="0" t="n">
        <v>5.47</v>
      </c>
      <c r="F10" s="0" t="n">
        <v>1.73</v>
      </c>
      <c r="G10" s="0" t="n">
        <v>-1</v>
      </c>
      <c r="H10" s="0" t="n">
        <v>19</v>
      </c>
      <c r="L10" s="0" t="s">
        <v>169</v>
      </c>
      <c r="M10" s="0" t="s">
        <v>38</v>
      </c>
      <c r="N10" s="0" t="n">
        <v>10</v>
      </c>
      <c r="O10" s="0" t="n">
        <v>6.2</v>
      </c>
      <c r="P10" s="0" t="n">
        <v>4.26</v>
      </c>
      <c r="Q10" s="0" t="s">
        <v>64</v>
      </c>
      <c r="R10" s="0" t="s">
        <v>65</v>
      </c>
      <c r="S10" s="0" t="s">
        <v>105</v>
      </c>
    </row>
    <row r="11" customFormat="false" ht="15" hidden="false" customHeight="false" outlineLevel="0" collapsed="false">
      <c r="A11" s="0" t="s">
        <v>35</v>
      </c>
      <c r="B11" s="0" t="s">
        <v>153</v>
      </c>
      <c r="C11" s="0" t="n">
        <v>10</v>
      </c>
      <c r="D11" s="0" t="n">
        <v>5.1</v>
      </c>
      <c r="E11" s="0" t="n">
        <v>3.96</v>
      </c>
      <c r="F11" s="0" t="n">
        <v>1.25</v>
      </c>
      <c r="G11" s="0" t="n">
        <v>0</v>
      </c>
      <c r="H11" s="0" t="n">
        <v>12</v>
      </c>
    </row>
    <row r="12" customFormat="false" ht="15" hidden="false" customHeight="false" outlineLevel="0" collapsed="false">
      <c r="A12" s="0" t="s">
        <v>35</v>
      </c>
      <c r="B12" s="0" t="s">
        <v>154</v>
      </c>
      <c r="C12" s="0" t="n">
        <v>10</v>
      </c>
      <c r="D12" s="0" t="n">
        <v>37</v>
      </c>
      <c r="E12" s="0" t="n">
        <v>8.96</v>
      </c>
      <c r="F12" s="0" t="n">
        <v>2.83</v>
      </c>
      <c r="G12" s="0" t="n">
        <v>24</v>
      </c>
      <c r="H12" s="0" t="n">
        <v>52</v>
      </c>
      <c r="L12" s="0" t="s">
        <v>88</v>
      </c>
      <c r="M12" s="0" t="s">
        <v>89</v>
      </c>
      <c r="N12" s="0" t="s">
        <v>64</v>
      </c>
      <c r="O12" s="0" t="s">
        <v>64</v>
      </c>
      <c r="P12" s="0" t="s">
        <v>64</v>
      </c>
      <c r="V12" s="0" t="s">
        <v>26</v>
      </c>
      <c r="W12" s="0" t="s">
        <v>195</v>
      </c>
      <c r="X12" s="0" t="s">
        <v>196</v>
      </c>
      <c r="Y12" s="0" t="s">
        <v>197</v>
      </c>
    </row>
    <row r="13" customFormat="false" ht="15" hidden="false" customHeight="false" outlineLevel="0" collapsed="false">
      <c r="A13" s="0" t="s">
        <v>37</v>
      </c>
      <c r="B13" s="0" t="s">
        <v>146</v>
      </c>
      <c r="C13" s="0" t="n">
        <v>10</v>
      </c>
      <c r="D13" s="0" t="n">
        <v>1.6</v>
      </c>
      <c r="E13" s="0" t="n">
        <v>2.07</v>
      </c>
      <c r="F13" s="0" t="n">
        <v>0.65</v>
      </c>
      <c r="G13" s="0" t="n">
        <v>0</v>
      </c>
      <c r="H13" s="0" t="n">
        <v>5</v>
      </c>
      <c r="L13" s="0" t="s">
        <v>198</v>
      </c>
      <c r="M13" s="0" t="n">
        <v>7.15</v>
      </c>
      <c r="N13" s="0" t="s">
        <v>92</v>
      </c>
      <c r="O13" s="0" t="s">
        <v>64</v>
      </c>
      <c r="P13" s="0" t="s">
        <v>64</v>
      </c>
      <c r="V13" s="0" t="s">
        <v>23</v>
      </c>
      <c r="W13" s="62" t="s">
        <v>162</v>
      </c>
      <c r="X13" s="62" t="s">
        <v>162</v>
      </c>
      <c r="Y13" s="62" t="s">
        <v>162</v>
      </c>
    </row>
    <row r="14" customFormat="false" ht="15" hidden="false" customHeight="false" outlineLevel="0" collapsed="false">
      <c r="B14" s="0" t="s">
        <v>147</v>
      </c>
      <c r="C14" s="0" t="n">
        <v>10</v>
      </c>
      <c r="D14" s="0" t="n">
        <v>2.7</v>
      </c>
      <c r="E14" s="0" t="n">
        <v>2.06</v>
      </c>
      <c r="F14" s="0" t="n">
        <v>0.65</v>
      </c>
      <c r="G14" s="0" t="n">
        <v>0</v>
      </c>
      <c r="H14" s="0" t="n">
        <v>7</v>
      </c>
      <c r="L14" s="0" t="s">
        <v>199</v>
      </c>
      <c r="M14" s="0" t="n">
        <v>15.8</v>
      </c>
      <c r="N14" s="0" t="s">
        <v>92</v>
      </c>
      <c r="O14" s="0" t="s">
        <v>64</v>
      </c>
      <c r="P14" s="0" t="s">
        <v>64</v>
      </c>
      <c r="V14" s="0" t="s">
        <v>22</v>
      </c>
      <c r="W14" s="0" t="s">
        <v>200</v>
      </c>
      <c r="X14" s="0" t="s">
        <v>201</v>
      </c>
      <c r="Y14" s="0" t="s">
        <v>202</v>
      </c>
    </row>
    <row r="15" customFormat="false" ht="15" hidden="false" customHeight="false" outlineLevel="0" collapsed="false">
      <c r="A15" s="0" t="s">
        <v>37</v>
      </c>
      <c r="B15" s="0" t="s">
        <v>148</v>
      </c>
      <c r="C15" s="0" t="n">
        <v>10</v>
      </c>
      <c r="D15" s="0" t="n">
        <v>2.4</v>
      </c>
      <c r="E15" s="0" t="n">
        <v>2.37</v>
      </c>
      <c r="F15" s="0" t="n">
        <v>0.75</v>
      </c>
      <c r="G15" s="0" t="n">
        <v>0</v>
      </c>
      <c r="H15" s="0" t="n">
        <v>7</v>
      </c>
      <c r="L15" s="0" t="s">
        <v>203</v>
      </c>
      <c r="M15" s="0" t="n">
        <v>31.8</v>
      </c>
      <c r="N15" s="0" t="s">
        <v>64</v>
      </c>
      <c r="O15" s="0" t="s">
        <v>94</v>
      </c>
      <c r="P15" s="0" t="s">
        <v>64</v>
      </c>
      <c r="V15" s="0" t="s">
        <v>21</v>
      </c>
      <c r="W15" s="0" t="s">
        <v>204</v>
      </c>
      <c r="X15" s="0" t="s">
        <v>205</v>
      </c>
      <c r="Y15" s="0" t="s">
        <v>206</v>
      </c>
    </row>
    <row r="16" customFormat="false" ht="15" hidden="false" customHeight="false" outlineLevel="0" collapsed="false">
      <c r="A16" s="0" t="s">
        <v>37</v>
      </c>
      <c r="B16" s="0" t="s">
        <v>149</v>
      </c>
      <c r="C16" s="0" t="n">
        <v>10</v>
      </c>
      <c r="D16" s="0" t="n">
        <v>6.7</v>
      </c>
      <c r="E16" s="0" t="n">
        <v>4.79</v>
      </c>
      <c r="F16" s="0" t="n">
        <v>1.51</v>
      </c>
      <c r="G16" s="0" t="n">
        <v>0</v>
      </c>
      <c r="H16" s="0" t="n">
        <v>14</v>
      </c>
      <c r="L16" s="0" t="s">
        <v>207</v>
      </c>
      <c r="M16" s="0" t="n">
        <v>32.45</v>
      </c>
      <c r="N16" s="0" t="s">
        <v>64</v>
      </c>
      <c r="O16" s="0" t="s">
        <v>94</v>
      </c>
      <c r="P16" s="0" t="s">
        <v>64</v>
      </c>
      <c r="V16" s="0" t="s">
        <v>20</v>
      </c>
      <c r="W16" s="0" t="s">
        <v>208</v>
      </c>
      <c r="X16" s="0" t="s">
        <v>209</v>
      </c>
      <c r="Y16" s="0" t="s">
        <v>210</v>
      </c>
    </row>
    <row r="17" customFormat="false" ht="15" hidden="false" customHeight="false" outlineLevel="0" collapsed="false">
      <c r="A17" s="0" t="s">
        <v>37</v>
      </c>
      <c r="B17" s="0" t="s">
        <v>150</v>
      </c>
      <c r="C17" s="0" t="n">
        <v>10</v>
      </c>
      <c r="D17" s="0" t="n">
        <v>1.9</v>
      </c>
      <c r="E17" s="0" t="n">
        <v>2.23</v>
      </c>
      <c r="F17" s="0" t="n">
        <v>0.71</v>
      </c>
      <c r="G17" s="0" t="n">
        <v>0</v>
      </c>
      <c r="H17" s="0" t="n">
        <v>7</v>
      </c>
      <c r="L17" s="0" t="s">
        <v>211</v>
      </c>
      <c r="M17" s="0" t="n">
        <v>45.15</v>
      </c>
      <c r="N17" s="0" t="s">
        <v>64</v>
      </c>
      <c r="O17" s="0" t="s">
        <v>94</v>
      </c>
      <c r="P17" s="0" t="s">
        <v>119</v>
      </c>
      <c r="V17" s="0" t="s">
        <v>19</v>
      </c>
      <c r="W17" s="0" t="s">
        <v>212</v>
      </c>
      <c r="X17" s="0" t="s">
        <v>213</v>
      </c>
      <c r="Y17" s="0" t="s">
        <v>214</v>
      </c>
    </row>
    <row r="18" customFormat="false" ht="15" hidden="false" customHeight="false" outlineLevel="0" collapsed="false">
      <c r="A18" s="0" t="s">
        <v>37</v>
      </c>
      <c r="B18" s="0" t="s">
        <v>151</v>
      </c>
      <c r="C18" s="0" t="n">
        <v>10</v>
      </c>
      <c r="D18" s="0" t="n">
        <v>-0.3</v>
      </c>
      <c r="E18" s="0" t="n">
        <v>3.4</v>
      </c>
      <c r="F18" s="0" t="n">
        <v>1.08</v>
      </c>
      <c r="G18" s="0" t="n">
        <v>-7</v>
      </c>
      <c r="H18" s="0" t="n">
        <v>5</v>
      </c>
      <c r="L18" s="0" t="s">
        <v>215</v>
      </c>
      <c r="M18" s="0" t="n">
        <v>50.65</v>
      </c>
      <c r="N18" s="0" t="s">
        <v>64</v>
      </c>
      <c r="O18" s="0" t="s">
        <v>64</v>
      </c>
      <c r="P18" s="0" t="s">
        <v>119</v>
      </c>
      <c r="V18" s="0" t="s">
        <v>12</v>
      </c>
      <c r="W18" s="0" t="s">
        <v>216</v>
      </c>
      <c r="X18" s="0" t="s">
        <v>217</v>
      </c>
      <c r="Y18" s="0" t="s">
        <v>218</v>
      </c>
    </row>
    <row r="19" customFormat="false" ht="15" hidden="false" customHeight="false" outlineLevel="0" collapsed="false">
      <c r="A19" s="0" t="s">
        <v>37</v>
      </c>
      <c r="B19" s="0" t="s">
        <v>152</v>
      </c>
      <c r="C19" s="0" t="n">
        <v>10</v>
      </c>
      <c r="D19" s="0" t="n">
        <v>0.8</v>
      </c>
      <c r="E19" s="0" t="n">
        <v>3.74</v>
      </c>
      <c r="F19" s="0" t="n">
        <v>1.18</v>
      </c>
      <c r="G19" s="0" t="n">
        <v>-7</v>
      </c>
      <c r="H19" s="0" t="n">
        <v>7</v>
      </c>
      <c r="L19" s="0" t="s">
        <v>102</v>
      </c>
      <c r="W19" s="0" t="s">
        <v>219</v>
      </c>
      <c r="X19" s="0" t="s">
        <v>220</v>
      </c>
      <c r="Y19" s="0" t="s">
        <v>221</v>
      </c>
      <c r="Z19" s="0" t="s">
        <v>26</v>
      </c>
      <c r="AA19" s="0" t="s">
        <v>222</v>
      </c>
      <c r="AB19" s="0" t="s">
        <v>223</v>
      </c>
      <c r="AC19" s="0" t="s">
        <v>224</v>
      </c>
      <c r="AD19" s="0" t="s">
        <v>225</v>
      </c>
      <c r="AE19" s="0" t="s">
        <v>226</v>
      </c>
    </row>
    <row r="20" customFormat="false" ht="15" hidden="false" customHeight="false" outlineLevel="0" collapsed="false">
      <c r="A20" s="0" t="s">
        <v>37</v>
      </c>
      <c r="B20" s="0" t="s">
        <v>153</v>
      </c>
      <c r="C20" s="0" t="n">
        <v>10</v>
      </c>
      <c r="D20" s="0" t="n">
        <v>0.5</v>
      </c>
      <c r="E20" s="0" t="n">
        <v>3.92</v>
      </c>
      <c r="F20" s="0" t="n">
        <v>1.24</v>
      </c>
      <c r="G20" s="0" t="n">
        <v>-7</v>
      </c>
      <c r="H20" s="0" t="n">
        <v>7</v>
      </c>
      <c r="Z20" s="11" t="s">
        <v>34</v>
      </c>
      <c r="AA20" s="10" t="n">
        <v>0.1</v>
      </c>
      <c r="AB20" s="0" t="n">
        <v>33.9</v>
      </c>
      <c r="AC20" s="0" t="n">
        <v>7.5</v>
      </c>
      <c r="AD20" s="0" t="n">
        <v>8.4</v>
      </c>
      <c r="AE20" s="0" t="n">
        <v>49.8</v>
      </c>
    </row>
    <row r="21" customFormat="false" ht="15" hidden="false" customHeight="false" outlineLevel="0" collapsed="false">
      <c r="A21" s="0" t="s">
        <v>37</v>
      </c>
      <c r="B21" s="0" t="s">
        <v>154</v>
      </c>
      <c r="C21" s="0" t="n">
        <v>10</v>
      </c>
      <c r="D21" s="0" t="n">
        <v>4.8</v>
      </c>
      <c r="E21" s="0" t="n">
        <v>6.3</v>
      </c>
      <c r="F21" s="0" t="n">
        <v>1.99</v>
      </c>
      <c r="G21" s="0" t="n">
        <v>-7</v>
      </c>
      <c r="H21" s="0" t="n">
        <v>14</v>
      </c>
      <c r="Z21" s="11" t="s">
        <v>35</v>
      </c>
      <c r="AA21" s="10" t="n">
        <v>0.5</v>
      </c>
      <c r="AB21" s="0" t="n">
        <v>25.3</v>
      </c>
      <c r="AC21" s="0" t="n">
        <v>6.6</v>
      </c>
      <c r="AD21" s="0" t="n">
        <v>5.6</v>
      </c>
      <c r="AE21" s="0" t="n">
        <v>37.5</v>
      </c>
    </row>
    <row r="22" customFormat="false" ht="15" hidden="false" customHeight="false" outlineLevel="0" collapsed="false">
      <c r="A22" s="0" t="s">
        <v>39</v>
      </c>
      <c r="B22" s="0" t="s">
        <v>146</v>
      </c>
      <c r="C22" s="0" t="n">
        <v>10</v>
      </c>
      <c r="D22" s="0" t="n">
        <v>16.5</v>
      </c>
      <c r="E22" s="0" t="n">
        <v>8.07</v>
      </c>
      <c r="F22" s="0" t="n">
        <v>2.55</v>
      </c>
      <c r="G22" s="0" t="n">
        <v>5</v>
      </c>
      <c r="H22" s="0" t="n">
        <v>32</v>
      </c>
      <c r="Z22" s="11" t="s">
        <v>36</v>
      </c>
      <c r="AA22" s="10" t="n">
        <v>2.9</v>
      </c>
      <c r="AB22" s="0" t="n">
        <v>15.4</v>
      </c>
      <c r="AC22" s="0" t="n">
        <v>2.7</v>
      </c>
      <c r="AD22" s="0" t="n">
        <v>3.4</v>
      </c>
      <c r="AE22" s="0" t="n">
        <v>21.5</v>
      </c>
    </row>
    <row r="23" customFormat="false" ht="15" hidden="false" customHeight="false" outlineLevel="0" collapsed="false">
      <c r="A23" s="0" t="s">
        <v>39</v>
      </c>
      <c r="B23" s="0" t="s">
        <v>147</v>
      </c>
      <c r="C23" s="0" t="n">
        <v>10</v>
      </c>
      <c r="D23" s="0" t="n">
        <v>3.3</v>
      </c>
      <c r="E23" s="0" t="n">
        <v>1.49</v>
      </c>
      <c r="F23" s="0" t="n">
        <v>0.47</v>
      </c>
      <c r="G23" s="0" t="n">
        <v>1</v>
      </c>
      <c r="H23" s="0" t="n">
        <v>6</v>
      </c>
      <c r="L23" s="0" t="s">
        <v>163</v>
      </c>
      <c r="M23" s="0" t="s">
        <v>2</v>
      </c>
      <c r="N23" s="0" t="s">
        <v>55</v>
      </c>
      <c r="O23" s="0" t="s">
        <v>56</v>
      </c>
      <c r="P23" s="0" t="s">
        <v>57</v>
      </c>
      <c r="Q23" s="0" t="s">
        <v>58</v>
      </c>
      <c r="R23" s="0" t="s">
        <v>59</v>
      </c>
      <c r="S23" s="0" t="s">
        <v>60</v>
      </c>
      <c r="Z23" s="11" t="s">
        <v>37</v>
      </c>
      <c r="AA23" s="10" t="n">
        <v>1.9</v>
      </c>
      <c r="AB23" s="0" t="n">
        <v>1.6</v>
      </c>
      <c r="AC23" s="0" t="n">
        <v>2.7</v>
      </c>
      <c r="AD23" s="0" t="n">
        <v>2.4</v>
      </c>
      <c r="AE23" s="0" t="n">
        <v>6.7</v>
      </c>
    </row>
    <row r="24" customFormat="false" ht="15" hidden="false" customHeight="false" outlineLevel="0" collapsed="false">
      <c r="A24" s="0" t="s">
        <v>39</v>
      </c>
      <c r="B24" s="0" t="s">
        <v>148</v>
      </c>
      <c r="C24" s="0" t="n">
        <v>10</v>
      </c>
      <c r="D24" s="0" t="n">
        <v>3.7</v>
      </c>
      <c r="E24" s="0" t="n">
        <v>3.2</v>
      </c>
      <c r="F24" s="0" t="n">
        <v>1.01</v>
      </c>
      <c r="G24" s="0" t="n">
        <v>0</v>
      </c>
      <c r="H24" s="0" t="n">
        <v>11</v>
      </c>
      <c r="L24" s="0" t="s">
        <v>227</v>
      </c>
      <c r="M24" s="0" t="s">
        <v>35</v>
      </c>
      <c r="N24" s="0" t="n">
        <v>10</v>
      </c>
      <c r="O24" s="0" t="n">
        <v>6.6</v>
      </c>
      <c r="P24" s="0" t="n">
        <v>5.42</v>
      </c>
      <c r="Q24" s="0" t="n">
        <v>5</v>
      </c>
      <c r="R24" s="0" t="n">
        <v>16.02</v>
      </c>
      <c r="S24" s="0" t="n">
        <v>0.006</v>
      </c>
      <c r="Z24" s="11" t="s">
        <v>38</v>
      </c>
      <c r="AA24" s="10" t="n">
        <v>1.8</v>
      </c>
      <c r="AB24" s="0" t="n">
        <v>6.2</v>
      </c>
      <c r="AC24" s="0" t="n">
        <v>2.5</v>
      </c>
      <c r="AD24" s="0" t="n">
        <v>1.3</v>
      </c>
      <c r="AE24" s="0" t="n">
        <v>10</v>
      </c>
    </row>
    <row r="25" customFormat="false" ht="15" hidden="false" customHeight="false" outlineLevel="0" collapsed="false">
      <c r="A25" s="0" t="s">
        <v>39</v>
      </c>
      <c r="B25" s="0" t="s">
        <v>149</v>
      </c>
      <c r="C25" s="0" t="n">
        <v>10</v>
      </c>
      <c r="D25" s="0" t="n">
        <v>23.5</v>
      </c>
      <c r="E25" s="0" t="n">
        <v>10.05</v>
      </c>
      <c r="F25" s="0" t="n">
        <v>3.18</v>
      </c>
      <c r="G25" s="0" t="n">
        <v>12</v>
      </c>
      <c r="H25" s="0" t="n">
        <v>41</v>
      </c>
      <c r="L25" s="0" t="s">
        <v>227</v>
      </c>
      <c r="M25" s="0" t="s">
        <v>37</v>
      </c>
      <c r="N25" s="0" t="n">
        <v>10</v>
      </c>
      <c r="O25" s="0" t="n">
        <v>2.7</v>
      </c>
      <c r="P25" s="0" t="n">
        <v>2.06</v>
      </c>
      <c r="Q25" s="0" t="s">
        <v>64</v>
      </c>
      <c r="R25" s="0" t="s">
        <v>65</v>
      </c>
      <c r="S25" s="0" t="s">
        <v>66</v>
      </c>
      <c r="Z25" s="11" t="s">
        <v>39</v>
      </c>
      <c r="AA25" s="10" t="n">
        <v>0.2</v>
      </c>
      <c r="AB25" s="0" t="n">
        <v>16.5</v>
      </c>
      <c r="AC25" s="0" t="n">
        <v>3.3</v>
      </c>
      <c r="AD25" s="0" t="n">
        <v>3.7</v>
      </c>
      <c r="AE25" s="0" t="n">
        <v>23.5</v>
      </c>
    </row>
    <row r="26" customFormat="false" ht="15" hidden="false" customHeight="false" outlineLevel="0" collapsed="false">
      <c r="A26" s="0" t="s">
        <v>39</v>
      </c>
      <c r="B26" s="0" t="s">
        <v>150</v>
      </c>
      <c r="C26" s="0" t="n">
        <v>10</v>
      </c>
      <c r="D26" s="0" t="n">
        <v>0.2</v>
      </c>
      <c r="E26" s="0" t="n">
        <v>0.42</v>
      </c>
      <c r="F26" s="0" t="n">
        <v>0.13</v>
      </c>
      <c r="G26" s="0" t="n">
        <v>0</v>
      </c>
      <c r="H26" s="0" t="n">
        <v>1</v>
      </c>
      <c r="L26" s="0" t="s">
        <v>227</v>
      </c>
      <c r="M26" s="0" t="s">
        <v>39</v>
      </c>
      <c r="N26" s="0" t="n">
        <v>10</v>
      </c>
      <c r="O26" s="0" t="n">
        <v>3.3</v>
      </c>
      <c r="P26" s="0" t="n">
        <v>1.49</v>
      </c>
      <c r="Q26" s="0" t="s">
        <v>64</v>
      </c>
      <c r="R26" s="0" t="s">
        <v>65</v>
      </c>
      <c r="S26" s="0" t="s">
        <v>66</v>
      </c>
    </row>
    <row r="27" customFormat="false" ht="15" hidden="false" customHeight="false" outlineLevel="0" collapsed="false">
      <c r="A27" s="0" t="s">
        <v>39</v>
      </c>
      <c r="B27" s="0" t="s">
        <v>151</v>
      </c>
      <c r="C27" s="0" t="n">
        <v>10</v>
      </c>
      <c r="D27" s="0" t="n">
        <v>16.3</v>
      </c>
      <c r="E27" s="0" t="n">
        <v>8.08</v>
      </c>
      <c r="F27" s="0" t="n">
        <v>2.56</v>
      </c>
      <c r="G27" s="0" t="n">
        <v>5</v>
      </c>
      <c r="H27" s="0" t="n">
        <v>32</v>
      </c>
      <c r="L27" s="0" t="s">
        <v>227</v>
      </c>
      <c r="M27" s="0" t="s">
        <v>34</v>
      </c>
      <c r="N27" s="0" t="n">
        <v>10</v>
      </c>
      <c r="O27" s="0" t="n">
        <v>7.5</v>
      </c>
      <c r="P27" s="0" t="n">
        <v>3.54</v>
      </c>
      <c r="Q27" s="0" t="s">
        <v>64</v>
      </c>
      <c r="R27" s="0" t="s">
        <v>65</v>
      </c>
      <c r="S27" s="0" t="s">
        <v>66</v>
      </c>
    </row>
    <row r="28" customFormat="false" ht="15" hidden="false" customHeight="false" outlineLevel="0" collapsed="false">
      <c r="A28" s="0" t="s">
        <v>39</v>
      </c>
      <c r="B28" s="0" t="s">
        <v>152</v>
      </c>
      <c r="C28" s="0" t="n">
        <v>10</v>
      </c>
      <c r="D28" s="0" t="n">
        <v>3.1</v>
      </c>
      <c r="E28" s="0" t="n">
        <v>1.52</v>
      </c>
      <c r="F28" s="0" t="n">
        <v>0.48</v>
      </c>
      <c r="G28" s="0" t="n">
        <v>1</v>
      </c>
      <c r="H28" s="0" t="n">
        <v>6</v>
      </c>
      <c r="L28" s="0" t="s">
        <v>227</v>
      </c>
      <c r="M28" s="0" t="s">
        <v>36</v>
      </c>
      <c r="N28" s="0" t="n">
        <v>10</v>
      </c>
      <c r="O28" s="0" t="n">
        <v>2.7</v>
      </c>
      <c r="P28" s="0" t="n">
        <v>2.11</v>
      </c>
      <c r="Q28" s="0" t="s">
        <v>64</v>
      </c>
      <c r="R28" s="0" t="s">
        <v>65</v>
      </c>
      <c r="S28" s="0" t="s">
        <v>66</v>
      </c>
    </row>
    <row r="29" customFormat="false" ht="15" hidden="false" customHeight="false" outlineLevel="0" collapsed="false">
      <c r="A29" s="0" t="s">
        <v>39</v>
      </c>
      <c r="B29" s="0" t="s">
        <v>153</v>
      </c>
      <c r="C29" s="0" t="n">
        <v>10</v>
      </c>
      <c r="D29" s="0" t="n">
        <v>3.5</v>
      </c>
      <c r="E29" s="0" t="n">
        <v>3.27</v>
      </c>
      <c r="F29" s="0" t="n">
        <v>1.04</v>
      </c>
      <c r="G29" s="0" t="n">
        <v>0</v>
      </c>
      <c r="H29" s="0" t="n">
        <v>11</v>
      </c>
      <c r="L29" s="0" t="s">
        <v>227</v>
      </c>
      <c r="M29" s="0" t="s">
        <v>38</v>
      </c>
      <c r="N29" s="0" t="n">
        <v>10</v>
      </c>
      <c r="O29" s="0" t="n">
        <v>2.5</v>
      </c>
      <c r="P29" s="0" t="n">
        <v>2.32</v>
      </c>
      <c r="Q29" s="0" t="s">
        <v>64</v>
      </c>
      <c r="R29" s="0" t="s">
        <v>65</v>
      </c>
      <c r="S29" s="0" t="s">
        <v>66</v>
      </c>
      <c r="Z29" s="0" t="s">
        <v>228</v>
      </c>
      <c r="AA29" s="0" t="s">
        <v>229</v>
      </c>
      <c r="AB29" s="0" t="s">
        <v>230</v>
      </c>
      <c r="AC29" s="0" t="s">
        <v>231</v>
      </c>
    </row>
    <row r="30" customFormat="false" ht="15" hidden="false" customHeight="false" outlineLevel="0" collapsed="false">
      <c r="A30" s="0" t="s">
        <v>39</v>
      </c>
      <c r="B30" s="0" t="s">
        <v>154</v>
      </c>
      <c r="C30" s="0" t="n">
        <v>10</v>
      </c>
      <c r="D30" s="0" t="n">
        <v>23.3</v>
      </c>
      <c r="E30" s="0" t="n">
        <v>10.07</v>
      </c>
      <c r="F30" s="0" t="n">
        <v>3.18</v>
      </c>
      <c r="G30" s="0" t="n">
        <v>12</v>
      </c>
      <c r="H30" s="0" t="n">
        <v>41</v>
      </c>
      <c r="Y30" s="0" t="s">
        <v>34</v>
      </c>
      <c r="Z30" s="0" t="n">
        <v>33.8</v>
      </c>
      <c r="AA30" s="0" t="n">
        <v>7.4</v>
      </c>
      <c r="AB30" s="0" t="n">
        <v>8.3</v>
      </c>
      <c r="AC30" s="0" t="n">
        <v>49.7</v>
      </c>
    </row>
    <row r="31" customFormat="false" ht="15" hidden="false" customHeight="false" outlineLevel="0" collapsed="false">
      <c r="A31" s="0" t="s">
        <v>34</v>
      </c>
      <c r="B31" s="0" t="s">
        <v>146</v>
      </c>
      <c r="C31" s="0" t="n">
        <v>10</v>
      </c>
      <c r="D31" s="0" t="n">
        <v>33.9</v>
      </c>
      <c r="E31" s="0" t="n">
        <v>13.97</v>
      </c>
      <c r="F31" s="0" t="n">
        <v>4.42</v>
      </c>
      <c r="G31" s="0" t="n">
        <v>17</v>
      </c>
      <c r="H31" s="0" t="n">
        <v>61</v>
      </c>
      <c r="L31" s="0" t="s">
        <v>88</v>
      </c>
      <c r="M31" s="0" t="s">
        <v>89</v>
      </c>
      <c r="N31" s="0" t="s">
        <v>64</v>
      </c>
      <c r="O31" s="0" t="s">
        <v>64</v>
      </c>
      <c r="P31" s="0" t="s">
        <v>64</v>
      </c>
      <c r="Y31" s="0" t="s">
        <v>35</v>
      </c>
      <c r="Z31" s="0" t="n">
        <v>24.8</v>
      </c>
      <c r="AA31" s="0" t="n">
        <v>6.1</v>
      </c>
      <c r="AB31" s="0" t="n">
        <v>5.1</v>
      </c>
      <c r="AC31" s="0" t="n">
        <v>37</v>
      </c>
    </row>
    <row r="32" customFormat="false" ht="15" hidden="false" customHeight="false" outlineLevel="0" collapsed="false">
      <c r="A32" s="0" t="s">
        <v>34</v>
      </c>
      <c r="B32" s="0" t="s">
        <v>147</v>
      </c>
      <c r="C32" s="0" t="n">
        <v>10</v>
      </c>
      <c r="D32" s="0" t="n">
        <v>7.5</v>
      </c>
      <c r="E32" s="0" t="n">
        <v>3.54</v>
      </c>
      <c r="F32" s="0" t="n">
        <v>1.12</v>
      </c>
      <c r="G32" s="0" t="n">
        <v>3</v>
      </c>
      <c r="H32" s="0" t="n">
        <v>12</v>
      </c>
      <c r="L32" s="0" t="s">
        <v>199</v>
      </c>
      <c r="M32" s="0" t="n">
        <v>22.05</v>
      </c>
      <c r="N32" s="0" t="s">
        <v>92</v>
      </c>
      <c r="O32" s="0" t="s">
        <v>64</v>
      </c>
      <c r="P32" s="0" t="s">
        <v>64</v>
      </c>
      <c r="Y32" s="0" t="s">
        <v>36</v>
      </c>
      <c r="Z32" s="0" t="n">
        <v>12.5</v>
      </c>
      <c r="AA32" s="0" t="n">
        <v>-0.2</v>
      </c>
      <c r="AB32" s="0" t="n">
        <v>0.5</v>
      </c>
      <c r="AC32" s="0" t="n">
        <v>18.6</v>
      </c>
    </row>
    <row r="33" customFormat="false" ht="15" hidden="false" customHeight="false" outlineLevel="0" collapsed="false">
      <c r="A33" s="0" t="s">
        <v>34</v>
      </c>
      <c r="B33" s="0" t="s">
        <v>148</v>
      </c>
      <c r="C33" s="0" t="n">
        <v>10</v>
      </c>
      <c r="D33" s="0" t="n">
        <v>8.4</v>
      </c>
      <c r="E33" s="0" t="n">
        <v>5.56</v>
      </c>
      <c r="F33" s="0" t="n">
        <v>1.76</v>
      </c>
      <c r="G33" s="0" t="n">
        <v>1</v>
      </c>
      <c r="H33" s="0" t="n">
        <v>18</v>
      </c>
      <c r="L33" s="0" t="s">
        <v>198</v>
      </c>
      <c r="M33" s="0" t="n">
        <v>22.65</v>
      </c>
      <c r="N33" s="0" t="s">
        <v>92</v>
      </c>
      <c r="O33" s="0" t="s">
        <v>64</v>
      </c>
      <c r="P33" s="0" t="s">
        <v>64</v>
      </c>
      <c r="Y33" s="0" t="s">
        <v>37</v>
      </c>
      <c r="Z33" s="0" t="n">
        <v>-0.3</v>
      </c>
      <c r="AA33" s="0" t="n">
        <v>0.8</v>
      </c>
      <c r="AB33" s="0" t="n">
        <v>0.5</v>
      </c>
      <c r="AC33" s="0" t="n">
        <v>4.8</v>
      </c>
    </row>
    <row r="34" customFormat="false" ht="15" hidden="false" customHeight="false" outlineLevel="0" collapsed="false">
      <c r="A34" s="0" t="s">
        <v>34</v>
      </c>
      <c r="B34" s="0" t="s">
        <v>149</v>
      </c>
      <c r="C34" s="0" t="n">
        <v>10</v>
      </c>
      <c r="D34" s="0" t="n">
        <v>49.8</v>
      </c>
      <c r="E34" s="0" t="n">
        <v>15.24</v>
      </c>
      <c r="F34" s="0" t="n">
        <v>4.82</v>
      </c>
      <c r="G34" s="0" t="n">
        <v>25</v>
      </c>
      <c r="H34" s="0" t="n">
        <v>79</v>
      </c>
      <c r="L34" s="0" t="s">
        <v>203</v>
      </c>
      <c r="M34" s="0" t="n">
        <v>24.45</v>
      </c>
      <c r="N34" s="0" t="s">
        <v>92</v>
      </c>
      <c r="O34" s="0" t="s">
        <v>94</v>
      </c>
      <c r="P34" s="0" t="s">
        <v>64</v>
      </c>
      <c r="Y34" s="0" t="s">
        <v>38</v>
      </c>
      <c r="Z34" s="0" t="n">
        <v>4.4</v>
      </c>
      <c r="AA34" s="0" t="n">
        <v>0.7</v>
      </c>
      <c r="AB34" s="0" t="n">
        <v>-0.5</v>
      </c>
      <c r="AC34" s="0" t="n">
        <v>8.2</v>
      </c>
    </row>
    <row r="35" customFormat="false" ht="15" hidden="false" customHeight="false" outlineLevel="0" collapsed="false">
      <c r="A35" s="0" t="s">
        <v>34</v>
      </c>
      <c r="B35" s="0" t="s">
        <v>150</v>
      </c>
      <c r="C35" s="0" t="n">
        <v>10</v>
      </c>
      <c r="D35" s="0" t="n">
        <v>0.1</v>
      </c>
      <c r="E35" s="0" t="n">
        <v>0.32</v>
      </c>
      <c r="F35" s="0" t="n">
        <v>0.1</v>
      </c>
      <c r="G35" s="0" t="n">
        <v>0</v>
      </c>
      <c r="H35" s="0" t="n">
        <v>1</v>
      </c>
      <c r="L35" s="0" t="s">
        <v>207</v>
      </c>
      <c r="M35" s="0" t="n">
        <v>28.8</v>
      </c>
      <c r="N35" s="0" t="s">
        <v>92</v>
      </c>
      <c r="O35" s="0" t="s">
        <v>94</v>
      </c>
      <c r="P35" s="0" t="s">
        <v>64</v>
      </c>
      <c r="Y35" s="0" t="s">
        <v>39</v>
      </c>
      <c r="Z35" s="0" t="n">
        <v>16.3</v>
      </c>
      <c r="AA35" s="0" t="n">
        <v>3.1</v>
      </c>
      <c r="AB35" s="0" t="n">
        <v>3.5</v>
      </c>
      <c r="AC35" s="0" t="n">
        <v>23.3</v>
      </c>
    </row>
    <row r="36" customFormat="false" ht="15" hidden="false" customHeight="false" outlineLevel="0" collapsed="false">
      <c r="A36" s="0" t="s">
        <v>34</v>
      </c>
      <c r="B36" s="0" t="s">
        <v>151</v>
      </c>
      <c r="C36" s="0" t="n">
        <v>10</v>
      </c>
      <c r="D36" s="0" t="n">
        <v>33.8</v>
      </c>
      <c r="E36" s="0" t="n">
        <v>13.83</v>
      </c>
      <c r="F36" s="0" t="n">
        <v>4.37</v>
      </c>
      <c r="G36" s="0" t="n">
        <v>17</v>
      </c>
      <c r="H36" s="0" t="n">
        <v>61</v>
      </c>
      <c r="L36" s="0" t="s">
        <v>211</v>
      </c>
      <c r="M36" s="0" t="n">
        <v>38.85</v>
      </c>
      <c r="N36" s="0" t="s">
        <v>64</v>
      </c>
      <c r="O36" s="0" t="s">
        <v>94</v>
      </c>
      <c r="P36" s="0" t="s">
        <v>119</v>
      </c>
    </row>
    <row r="37" customFormat="false" ht="15" hidden="false" customHeight="false" outlineLevel="0" collapsed="false">
      <c r="A37" s="0" t="s">
        <v>34</v>
      </c>
      <c r="B37" s="0" t="s">
        <v>152</v>
      </c>
      <c r="C37" s="0" t="n">
        <v>10</v>
      </c>
      <c r="D37" s="0" t="n">
        <v>7.4</v>
      </c>
      <c r="E37" s="0" t="n">
        <v>3.69</v>
      </c>
      <c r="F37" s="0" t="n">
        <v>1.17</v>
      </c>
      <c r="G37" s="0" t="n">
        <v>2</v>
      </c>
      <c r="H37" s="0" t="n">
        <v>12</v>
      </c>
      <c r="L37" s="0" t="s">
        <v>215</v>
      </c>
      <c r="M37" s="0" t="n">
        <v>46.2</v>
      </c>
      <c r="N37" s="0" t="s">
        <v>64</v>
      </c>
      <c r="O37" s="0" t="s">
        <v>64</v>
      </c>
      <c r="P37" s="0" t="s">
        <v>119</v>
      </c>
    </row>
    <row r="38" customFormat="false" ht="15" hidden="false" customHeight="false" outlineLevel="0" collapsed="false">
      <c r="A38" s="0" t="s">
        <v>34</v>
      </c>
      <c r="B38" s="0" t="s">
        <v>153</v>
      </c>
      <c r="C38" s="0" t="n">
        <v>10</v>
      </c>
      <c r="D38" s="0" t="n">
        <v>8.3</v>
      </c>
      <c r="E38" s="0" t="n">
        <v>5.72</v>
      </c>
      <c r="F38" s="0" t="n">
        <v>1.81</v>
      </c>
      <c r="G38" s="0" t="n">
        <v>0</v>
      </c>
      <c r="H38" s="0" t="n">
        <v>18</v>
      </c>
      <c r="L38" s="0" t="s">
        <v>102</v>
      </c>
    </row>
    <row r="39" customFormat="false" ht="15" hidden="false" customHeight="false" outlineLevel="0" collapsed="false">
      <c r="A39" s="0" t="s">
        <v>34</v>
      </c>
      <c r="B39" s="0" t="s">
        <v>154</v>
      </c>
      <c r="C39" s="0" t="n">
        <v>10</v>
      </c>
      <c r="D39" s="0" t="n">
        <v>49.7</v>
      </c>
      <c r="E39" s="0" t="n">
        <v>15.2</v>
      </c>
      <c r="F39" s="0" t="n">
        <v>4.81</v>
      </c>
      <c r="G39" s="0" t="n">
        <v>25</v>
      </c>
      <c r="H39" s="0" t="n">
        <v>79</v>
      </c>
    </row>
    <row r="40" customFormat="false" ht="15" hidden="false" customHeight="false" outlineLevel="0" collapsed="false">
      <c r="A40" s="0" t="s">
        <v>36</v>
      </c>
      <c r="B40" s="0" t="s">
        <v>146</v>
      </c>
      <c r="C40" s="0" t="n">
        <v>10</v>
      </c>
      <c r="D40" s="0" t="n">
        <v>15.4</v>
      </c>
      <c r="E40" s="0" t="n">
        <v>4.09</v>
      </c>
      <c r="F40" s="0" t="n">
        <v>1.29</v>
      </c>
      <c r="G40" s="0" t="n">
        <v>9</v>
      </c>
      <c r="H40" s="0" t="n">
        <v>21</v>
      </c>
    </row>
    <row r="41" customFormat="false" ht="15" hidden="false" customHeight="false" outlineLevel="0" collapsed="false">
      <c r="A41" s="0" t="s">
        <v>36</v>
      </c>
      <c r="B41" s="0" t="s">
        <v>147</v>
      </c>
      <c r="C41" s="0" t="n">
        <v>10</v>
      </c>
      <c r="D41" s="0" t="n">
        <v>2.7</v>
      </c>
      <c r="E41" s="0" t="n">
        <v>2.11</v>
      </c>
      <c r="F41" s="0" t="n">
        <v>0.67</v>
      </c>
      <c r="G41" s="0" t="n">
        <v>0</v>
      </c>
      <c r="H41" s="0" t="n">
        <v>5</v>
      </c>
    </row>
    <row r="42" customFormat="false" ht="15" hidden="false" customHeight="false" outlineLevel="0" collapsed="false">
      <c r="A42" s="0" t="s">
        <v>36</v>
      </c>
      <c r="B42" s="0" t="s">
        <v>148</v>
      </c>
      <c r="C42" s="0" t="n">
        <v>10</v>
      </c>
      <c r="D42" s="0" t="n">
        <v>3.4</v>
      </c>
      <c r="E42" s="0" t="n">
        <v>2.12</v>
      </c>
      <c r="F42" s="0" t="n">
        <v>0.67</v>
      </c>
      <c r="G42" s="0" t="n">
        <v>0</v>
      </c>
      <c r="H42" s="0" t="n">
        <v>6</v>
      </c>
      <c r="L42" s="0" t="s">
        <v>163</v>
      </c>
      <c r="M42" s="0" t="s">
        <v>2</v>
      </c>
      <c r="N42" s="0" t="s">
        <v>55</v>
      </c>
      <c r="O42" s="0" t="s">
        <v>56</v>
      </c>
      <c r="P42" s="0" t="s">
        <v>57</v>
      </c>
      <c r="Q42" s="0" t="s">
        <v>58</v>
      </c>
      <c r="R42" s="0" t="s">
        <v>59</v>
      </c>
      <c r="S42" s="0" t="s">
        <v>60</v>
      </c>
    </row>
    <row r="43" customFormat="false" ht="15" hidden="false" customHeight="false" outlineLevel="0" collapsed="false">
      <c r="A43" s="0" t="s">
        <v>36</v>
      </c>
      <c r="B43" s="0" t="s">
        <v>149</v>
      </c>
      <c r="C43" s="0" t="n">
        <v>10</v>
      </c>
      <c r="D43" s="0" t="n">
        <v>21.5</v>
      </c>
      <c r="E43" s="0" t="n">
        <v>5.76</v>
      </c>
      <c r="F43" s="0" t="n">
        <v>1.82</v>
      </c>
      <c r="G43" s="0" t="n">
        <v>16</v>
      </c>
      <c r="H43" s="0" t="n">
        <v>31</v>
      </c>
      <c r="L43" s="0" t="s">
        <v>232</v>
      </c>
      <c r="M43" s="0" t="s">
        <v>35</v>
      </c>
      <c r="N43" s="0" t="n">
        <v>10</v>
      </c>
      <c r="O43" s="0" t="n">
        <v>5.6</v>
      </c>
      <c r="P43" s="0" t="n">
        <v>3.92</v>
      </c>
      <c r="Q43" s="0" t="n">
        <v>5</v>
      </c>
      <c r="R43" s="0" t="n">
        <v>17.49</v>
      </c>
      <c r="S43" s="0" t="n">
        <v>0.0032</v>
      </c>
    </row>
    <row r="44" customFormat="false" ht="15" hidden="false" customHeight="false" outlineLevel="0" collapsed="false">
      <c r="A44" s="0" t="s">
        <v>36</v>
      </c>
      <c r="B44" s="0" t="s">
        <v>150</v>
      </c>
      <c r="C44" s="0" t="n">
        <v>10</v>
      </c>
      <c r="D44" s="0" t="n">
        <v>2.9</v>
      </c>
      <c r="E44" s="0" t="n">
        <v>4.79</v>
      </c>
      <c r="F44" s="0" t="n">
        <v>1.52</v>
      </c>
      <c r="G44" s="0" t="n">
        <v>0</v>
      </c>
      <c r="H44" s="0" t="n">
        <v>14</v>
      </c>
      <c r="L44" s="0" t="s">
        <v>232</v>
      </c>
      <c r="M44" s="0" t="s">
        <v>37</v>
      </c>
      <c r="N44" s="0" t="n">
        <v>10</v>
      </c>
      <c r="O44" s="0" t="n">
        <v>2.4</v>
      </c>
      <c r="P44" s="0" t="n">
        <v>2.37</v>
      </c>
      <c r="Q44" s="0" t="s">
        <v>64</v>
      </c>
      <c r="R44" s="0" t="s">
        <v>65</v>
      </c>
      <c r="S44" s="0" t="s">
        <v>66</v>
      </c>
    </row>
    <row r="45" customFormat="false" ht="15" hidden="false" customHeight="false" outlineLevel="0" collapsed="false">
      <c r="A45" s="0" t="s">
        <v>36</v>
      </c>
      <c r="B45" s="0" t="s">
        <v>151</v>
      </c>
      <c r="C45" s="0" t="n">
        <v>10</v>
      </c>
      <c r="D45" s="0" t="n">
        <v>12.5</v>
      </c>
      <c r="E45" s="0" t="n">
        <v>5.38</v>
      </c>
      <c r="F45" s="0" t="n">
        <v>1.7</v>
      </c>
      <c r="G45" s="0" t="n">
        <v>0</v>
      </c>
      <c r="H45" s="0" t="n">
        <v>18</v>
      </c>
      <c r="L45" s="0" t="s">
        <v>232</v>
      </c>
      <c r="M45" s="0" t="s">
        <v>39</v>
      </c>
      <c r="N45" s="0" t="n">
        <v>10</v>
      </c>
      <c r="O45" s="0" t="n">
        <v>3.7</v>
      </c>
      <c r="P45" s="0" t="n">
        <v>3.2</v>
      </c>
      <c r="Q45" s="0" t="s">
        <v>64</v>
      </c>
      <c r="R45" s="0" t="s">
        <v>65</v>
      </c>
      <c r="S45" s="0" t="s">
        <v>66</v>
      </c>
    </row>
    <row r="46" customFormat="false" ht="15" hidden="false" customHeight="false" outlineLevel="0" collapsed="false">
      <c r="A46" s="0" t="s">
        <v>36</v>
      </c>
      <c r="B46" s="0" t="s">
        <v>152</v>
      </c>
      <c r="C46" s="0" t="n">
        <v>10</v>
      </c>
      <c r="D46" s="0" t="n">
        <v>-0.2</v>
      </c>
      <c r="E46" s="0" t="n">
        <v>4.71</v>
      </c>
      <c r="F46" s="0" t="n">
        <v>1.49</v>
      </c>
      <c r="G46" s="0" t="n">
        <v>-11</v>
      </c>
      <c r="H46" s="0" t="n">
        <v>5</v>
      </c>
      <c r="L46" s="0" t="s">
        <v>232</v>
      </c>
      <c r="M46" s="0" t="s">
        <v>34</v>
      </c>
      <c r="N46" s="0" t="n">
        <v>10</v>
      </c>
      <c r="O46" s="0" t="n">
        <v>8.4</v>
      </c>
      <c r="P46" s="0" t="n">
        <v>5.56</v>
      </c>
      <c r="Q46" s="0" t="s">
        <v>64</v>
      </c>
      <c r="R46" s="0" t="s">
        <v>65</v>
      </c>
      <c r="S46" s="0" t="s">
        <v>66</v>
      </c>
    </row>
    <row r="47" customFormat="false" ht="15" hidden="false" customHeight="false" outlineLevel="0" collapsed="false">
      <c r="A47" s="0" t="s">
        <v>36</v>
      </c>
      <c r="B47" s="0" t="s">
        <v>153</v>
      </c>
      <c r="C47" s="0" t="n">
        <v>10</v>
      </c>
      <c r="D47" s="0" t="n">
        <v>0.5</v>
      </c>
      <c r="E47" s="0" t="n">
        <v>4.62</v>
      </c>
      <c r="F47" s="0" t="n">
        <v>1.46</v>
      </c>
      <c r="G47" s="0" t="n">
        <v>-9</v>
      </c>
      <c r="H47" s="0" t="n">
        <v>5</v>
      </c>
      <c r="L47" s="0" t="s">
        <v>232</v>
      </c>
      <c r="M47" s="0" t="s">
        <v>36</v>
      </c>
      <c r="N47" s="0" t="n">
        <v>10</v>
      </c>
      <c r="O47" s="0" t="n">
        <v>3.4</v>
      </c>
      <c r="P47" s="0" t="n">
        <v>2.12</v>
      </c>
      <c r="Q47" s="0" t="s">
        <v>64</v>
      </c>
      <c r="R47" s="0" t="s">
        <v>65</v>
      </c>
      <c r="S47" s="0" t="s">
        <v>66</v>
      </c>
    </row>
    <row r="48" customFormat="false" ht="15" hidden="false" customHeight="false" outlineLevel="0" collapsed="false">
      <c r="A48" s="0" t="s">
        <v>36</v>
      </c>
      <c r="B48" s="0" t="s">
        <v>154</v>
      </c>
      <c r="C48" s="0" t="n">
        <v>10</v>
      </c>
      <c r="D48" s="0" t="n">
        <v>18.6</v>
      </c>
      <c r="E48" s="0" t="n">
        <v>5.83</v>
      </c>
      <c r="F48" s="0" t="n">
        <v>1.85</v>
      </c>
      <c r="G48" s="0" t="n">
        <v>8</v>
      </c>
      <c r="H48" s="0" t="n">
        <v>28</v>
      </c>
      <c r="L48" s="0" t="s">
        <v>232</v>
      </c>
      <c r="M48" s="0" t="s">
        <v>38</v>
      </c>
      <c r="N48" s="0" t="n">
        <v>10</v>
      </c>
      <c r="O48" s="0" t="n">
        <v>1.3</v>
      </c>
      <c r="P48" s="0" t="n">
        <v>1.7</v>
      </c>
      <c r="Q48" s="0" t="s">
        <v>64</v>
      </c>
      <c r="R48" s="0" t="s">
        <v>65</v>
      </c>
      <c r="S48" s="0" t="s">
        <v>66</v>
      </c>
    </row>
    <row r="49" customFormat="false" ht="15" hidden="false" customHeight="false" outlineLevel="0" collapsed="false">
      <c r="A49" s="0" t="s">
        <v>38</v>
      </c>
      <c r="B49" s="0" t="s">
        <v>146</v>
      </c>
      <c r="C49" s="0" t="n">
        <v>10</v>
      </c>
      <c r="D49" s="0" t="n">
        <v>6.2</v>
      </c>
      <c r="E49" s="0" t="n">
        <v>4.26</v>
      </c>
      <c r="F49" s="0" t="n">
        <v>1.35</v>
      </c>
      <c r="G49" s="0" t="n">
        <v>0</v>
      </c>
      <c r="H49" s="0" t="n">
        <v>15</v>
      </c>
    </row>
    <row r="50" customFormat="false" ht="15" hidden="false" customHeight="false" outlineLevel="0" collapsed="false">
      <c r="A50" s="0" t="s">
        <v>38</v>
      </c>
      <c r="B50" s="0" t="s">
        <v>147</v>
      </c>
      <c r="C50" s="0" t="n">
        <v>10</v>
      </c>
      <c r="D50" s="0" t="n">
        <v>2.5</v>
      </c>
      <c r="E50" s="0" t="n">
        <v>2.32</v>
      </c>
      <c r="F50" s="0" t="n">
        <v>0.73</v>
      </c>
      <c r="G50" s="0" t="n">
        <v>0</v>
      </c>
      <c r="H50" s="0" t="n">
        <v>6</v>
      </c>
      <c r="L50" s="0" t="s">
        <v>88</v>
      </c>
      <c r="M50" s="0" t="s">
        <v>89</v>
      </c>
      <c r="N50" s="0" t="s">
        <v>64</v>
      </c>
      <c r="O50" s="0" t="s">
        <v>64</v>
      </c>
      <c r="P50" s="0" t="s">
        <v>64</v>
      </c>
    </row>
    <row r="51" customFormat="false" ht="15" hidden="false" customHeight="false" outlineLevel="0" collapsed="false">
      <c r="A51" s="0" t="s">
        <v>38</v>
      </c>
      <c r="B51" s="0" t="s">
        <v>148</v>
      </c>
      <c r="C51" s="0" t="n">
        <v>10</v>
      </c>
      <c r="D51" s="0" t="n">
        <v>1.3</v>
      </c>
      <c r="E51" s="0" t="n">
        <v>1.7</v>
      </c>
      <c r="F51" s="0" t="n">
        <v>0.54</v>
      </c>
      <c r="G51" s="0" t="n">
        <v>0</v>
      </c>
      <c r="H51" s="0" t="n">
        <v>4</v>
      </c>
      <c r="L51" s="0" t="s">
        <v>199</v>
      </c>
      <c r="M51" s="0" t="n">
        <v>15.8</v>
      </c>
      <c r="N51" s="0" t="s">
        <v>92</v>
      </c>
      <c r="O51" s="0" t="s">
        <v>64</v>
      </c>
      <c r="P51" s="0" t="s">
        <v>64</v>
      </c>
    </row>
    <row r="52" customFormat="false" ht="15" hidden="false" customHeight="false" outlineLevel="0" collapsed="false">
      <c r="A52" s="0" t="s">
        <v>38</v>
      </c>
      <c r="B52" s="0" t="s">
        <v>149</v>
      </c>
      <c r="C52" s="0" t="n">
        <v>10</v>
      </c>
      <c r="D52" s="0" t="n">
        <v>10</v>
      </c>
      <c r="E52" s="0" t="n">
        <v>6.78</v>
      </c>
      <c r="F52" s="0" t="n">
        <v>2.14</v>
      </c>
      <c r="G52" s="0" t="n">
        <v>0</v>
      </c>
      <c r="H52" s="0" t="n">
        <v>21</v>
      </c>
      <c r="L52" s="0" t="s">
        <v>198</v>
      </c>
      <c r="M52" s="0" t="n">
        <v>23.2</v>
      </c>
      <c r="N52" s="0" t="s">
        <v>92</v>
      </c>
      <c r="O52" s="0" t="s">
        <v>94</v>
      </c>
      <c r="P52" s="0" t="s">
        <v>64</v>
      </c>
    </row>
    <row r="53" customFormat="false" ht="15" hidden="false" customHeight="false" outlineLevel="0" collapsed="false">
      <c r="A53" s="0" t="s">
        <v>38</v>
      </c>
      <c r="B53" s="0" t="s">
        <v>150</v>
      </c>
      <c r="C53" s="0" t="n">
        <v>10</v>
      </c>
      <c r="D53" s="0" t="n">
        <v>1.8</v>
      </c>
      <c r="E53" s="0" t="n">
        <v>1.99</v>
      </c>
      <c r="F53" s="0" t="n">
        <v>0.63</v>
      </c>
      <c r="G53" s="0" t="n">
        <v>0</v>
      </c>
      <c r="H53" s="0" t="n">
        <v>7</v>
      </c>
      <c r="L53" s="0" t="s">
        <v>207</v>
      </c>
      <c r="M53" s="0" t="n">
        <v>30.25</v>
      </c>
      <c r="N53" s="0" t="s">
        <v>92</v>
      </c>
      <c r="O53" s="0" t="s">
        <v>94</v>
      </c>
      <c r="P53" s="0" t="s">
        <v>119</v>
      </c>
    </row>
    <row r="54" customFormat="false" ht="15" hidden="false" customHeight="false" outlineLevel="0" collapsed="false">
      <c r="A54" s="0" t="s">
        <v>38</v>
      </c>
      <c r="B54" s="0" t="s">
        <v>151</v>
      </c>
      <c r="C54" s="0" t="n">
        <v>10</v>
      </c>
      <c r="D54" s="0" t="n">
        <v>4.4</v>
      </c>
      <c r="E54" s="0" t="n">
        <v>3.2</v>
      </c>
      <c r="F54" s="0" t="n">
        <v>1.01</v>
      </c>
      <c r="G54" s="0" t="n">
        <v>-1</v>
      </c>
      <c r="H54" s="0" t="n">
        <v>8</v>
      </c>
      <c r="L54" s="0" t="s">
        <v>203</v>
      </c>
      <c r="M54" s="0" t="n">
        <v>30.65</v>
      </c>
      <c r="N54" s="0" t="s">
        <v>92</v>
      </c>
      <c r="O54" s="0" t="s">
        <v>94</v>
      </c>
      <c r="P54" s="0" t="s">
        <v>119</v>
      </c>
    </row>
    <row r="55" customFormat="false" ht="15" hidden="false" customHeight="false" outlineLevel="0" collapsed="false">
      <c r="A55" s="0" t="s">
        <v>38</v>
      </c>
      <c r="B55" s="0" t="s">
        <v>152</v>
      </c>
      <c r="C55" s="0" t="n">
        <v>10</v>
      </c>
      <c r="D55" s="0" t="n">
        <v>0.7</v>
      </c>
      <c r="E55" s="0" t="n">
        <v>2.95</v>
      </c>
      <c r="F55" s="0" t="n">
        <v>0.93</v>
      </c>
      <c r="G55" s="0" t="n">
        <v>-4</v>
      </c>
      <c r="H55" s="0" t="n">
        <v>6</v>
      </c>
      <c r="L55" s="0" t="s">
        <v>211</v>
      </c>
      <c r="M55" s="0" t="n">
        <v>38.4</v>
      </c>
      <c r="N55" s="0" t="s">
        <v>64</v>
      </c>
      <c r="O55" s="0" t="s">
        <v>94</v>
      </c>
      <c r="P55" s="0" t="s">
        <v>119</v>
      </c>
    </row>
    <row r="56" customFormat="false" ht="15" hidden="false" customHeight="false" outlineLevel="0" collapsed="false">
      <c r="A56" s="0" t="s">
        <v>38</v>
      </c>
      <c r="B56" s="0" t="s">
        <v>153</v>
      </c>
      <c r="C56" s="0" t="n">
        <v>10</v>
      </c>
      <c r="D56" s="0" t="n">
        <v>-0.5</v>
      </c>
      <c r="E56" s="0" t="n">
        <v>2.07</v>
      </c>
      <c r="F56" s="0" t="n">
        <v>0.65</v>
      </c>
      <c r="G56" s="0" t="n">
        <v>-4</v>
      </c>
      <c r="H56" s="0" t="n">
        <v>2</v>
      </c>
      <c r="L56" s="0" t="s">
        <v>215</v>
      </c>
      <c r="M56" s="0" t="n">
        <v>44.7</v>
      </c>
      <c r="N56" s="0" t="s">
        <v>64</v>
      </c>
      <c r="O56" s="0" t="s">
        <v>64</v>
      </c>
      <c r="P56" s="0" t="s">
        <v>119</v>
      </c>
    </row>
    <row r="57" customFormat="false" ht="15" hidden="false" customHeight="false" outlineLevel="0" collapsed="false">
      <c r="A57" s="0" t="s">
        <v>38</v>
      </c>
      <c r="B57" s="0" t="s">
        <v>154</v>
      </c>
      <c r="C57" s="0" t="n">
        <v>10</v>
      </c>
      <c r="D57" s="0" t="n">
        <v>8.2</v>
      </c>
      <c r="E57" s="0" t="n">
        <v>5.9</v>
      </c>
      <c r="F57" s="0" t="n">
        <v>1.87</v>
      </c>
      <c r="G57" s="0" t="n">
        <v>-1</v>
      </c>
      <c r="H57" s="0" t="n">
        <v>16</v>
      </c>
      <c r="L57" s="0" t="s">
        <v>102</v>
      </c>
    </row>
    <row r="61" customFormat="false" ht="15" hidden="false" customHeight="false" outlineLevel="0" collapsed="false">
      <c r="L61" s="0" t="s">
        <v>233</v>
      </c>
      <c r="M61" s="0" t="s">
        <v>2</v>
      </c>
      <c r="N61" s="0" t="s">
        <v>55</v>
      </c>
      <c r="O61" s="0" t="s">
        <v>56</v>
      </c>
      <c r="P61" s="0" t="s">
        <v>108</v>
      </c>
      <c r="Q61" s="0" t="s">
        <v>58</v>
      </c>
      <c r="R61" s="0" t="s">
        <v>59</v>
      </c>
      <c r="S61" s="0" t="s">
        <v>109</v>
      </c>
    </row>
    <row r="62" customFormat="false" ht="15" hidden="false" customHeight="false" outlineLevel="0" collapsed="false">
      <c r="L62" s="0" t="s">
        <v>135</v>
      </c>
      <c r="M62" s="0" t="s">
        <v>35</v>
      </c>
      <c r="N62" s="0" t="n">
        <v>10</v>
      </c>
      <c r="O62" s="0" t="n">
        <v>37.5</v>
      </c>
      <c r="P62" s="0" t="n">
        <v>8.76</v>
      </c>
      <c r="Q62" s="0" t="n">
        <v>5</v>
      </c>
      <c r="R62" s="0" t="n">
        <v>46.34</v>
      </c>
      <c r="S62" s="0" t="s">
        <v>111</v>
      </c>
    </row>
    <row r="63" customFormat="false" ht="15" hidden="false" customHeight="false" outlineLevel="0" collapsed="false">
      <c r="L63" s="0" t="s">
        <v>135</v>
      </c>
      <c r="M63" s="0" t="s">
        <v>37</v>
      </c>
      <c r="N63" s="0" t="n">
        <v>10</v>
      </c>
      <c r="O63" s="0" t="n">
        <v>6.7</v>
      </c>
      <c r="P63" s="0" t="n">
        <v>4.79</v>
      </c>
      <c r="Q63" s="0" t="s">
        <v>64</v>
      </c>
      <c r="R63" s="0" t="s">
        <v>65</v>
      </c>
      <c r="S63" s="0" t="s">
        <v>105</v>
      </c>
    </row>
    <row r="64" customFormat="false" ht="15" hidden="false" customHeight="false" outlineLevel="0" collapsed="false">
      <c r="L64" s="0" t="s">
        <v>135</v>
      </c>
      <c r="M64" s="0" t="s">
        <v>39</v>
      </c>
      <c r="N64" s="0" t="n">
        <v>10</v>
      </c>
      <c r="O64" s="0" t="n">
        <v>23.5</v>
      </c>
      <c r="P64" s="0" t="n">
        <v>10.05</v>
      </c>
      <c r="Q64" s="0" t="s">
        <v>64</v>
      </c>
      <c r="R64" s="0" t="s">
        <v>65</v>
      </c>
      <c r="S64" s="0" t="s">
        <v>105</v>
      </c>
    </row>
    <row r="65" customFormat="false" ht="15" hidden="false" customHeight="false" outlineLevel="0" collapsed="false">
      <c r="L65" s="0" t="s">
        <v>135</v>
      </c>
      <c r="M65" s="0" t="s">
        <v>34</v>
      </c>
      <c r="N65" s="0" t="n">
        <v>10</v>
      </c>
      <c r="O65" s="0" t="n">
        <v>49.8</v>
      </c>
      <c r="P65" s="0" t="n">
        <v>15.24</v>
      </c>
      <c r="Q65" s="0" t="s">
        <v>64</v>
      </c>
      <c r="R65" s="0" t="s">
        <v>65</v>
      </c>
      <c r="S65" s="0" t="s">
        <v>105</v>
      </c>
    </row>
    <row r="66" customFormat="false" ht="15" hidden="false" customHeight="false" outlineLevel="0" collapsed="false">
      <c r="L66" s="0" t="s">
        <v>135</v>
      </c>
      <c r="M66" s="0" t="s">
        <v>36</v>
      </c>
      <c r="N66" s="0" t="n">
        <v>10</v>
      </c>
      <c r="O66" s="0" t="n">
        <v>21.5</v>
      </c>
      <c r="P66" s="0" t="n">
        <v>5.76</v>
      </c>
      <c r="Q66" s="0" t="s">
        <v>64</v>
      </c>
      <c r="R66" s="0" t="s">
        <v>65</v>
      </c>
      <c r="S66" s="0" t="s">
        <v>105</v>
      </c>
    </row>
    <row r="67" customFormat="false" ht="15" hidden="false" customHeight="false" outlineLevel="0" collapsed="false">
      <c r="L67" s="0" t="s">
        <v>135</v>
      </c>
      <c r="M67" s="0" t="s">
        <v>38</v>
      </c>
      <c r="N67" s="0" t="n">
        <v>10</v>
      </c>
      <c r="O67" s="0" t="n">
        <v>10</v>
      </c>
      <c r="P67" s="0" t="n">
        <v>6.78</v>
      </c>
      <c r="Q67" s="0" t="s">
        <v>64</v>
      </c>
      <c r="R67" s="0" t="s">
        <v>65</v>
      </c>
      <c r="S67" s="0" t="s">
        <v>105</v>
      </c>
    </row>
    <row r="69" customFormat="false" ht="15" hidden="false" customHeight="false" outlineLevel="0" collapsed="false">
      <c r="L69" s="0" t="s">
        <v>88</v>
      </c>
      <c r="M69" s="0" t="s">
        <v>89</v>
      </c>
      <c r="N69" s="0" t="s">
        <v>64</v>
      </c>
      <c r="O69" s="0" t="s">
        <v>64</v>
      </c>
      <c r="P69" s="0" t="s">
        <v>64</v>
      </c>
      <c r="Q69" s="0" t="s">
        <v>64</v>
      </c>
    </row>
    <row r="70" customFormat="false" ht="15" hidden="false" customHeight="false" outlineLevel="0" collapsed="false">
      <c r="L70" s="0" t="s">
        <v>198</v>
      </c>
      <c r="M70" s="0" t="n">
        <v>9.4</v>
      </c>
      <c r="N70" s="0" t="s">
        <v>92</v>
      </c>
      <c r="O70" s="0" t="s">
        <v>64</v>
      </c>
      <c r="P70" s="0" t="s">
        <v>64</v>
      </c>
      <c r="Q70" s="0" t="s">
        <v>64</v>
      </c>
    </row>
    <row r="71" customFormat="false" ht="15" hidden="false" customHeight="false" outlineLevel="0" collapsed="false">
      <c r="L71" s="0" t="s">
        <v>199</v>
      </c>
      <c r="M71" s="0" t="n">
        <v>14.2</v>
      </c>
      <c r="N71" s="0" t="s">
        <v>92</v>
      </c>
      <c r="O71" s="0" t="s">
        <v>64</v>
      </c>
      <c r="P71" s="0" t="s">
        <v>64</v>
      </c>
      <c r="Q71" s="0" t="s">
        <v>64</v>
      </c>
    </row>
    <row r="72" customFormat="false" ht="15" hidden="false" customHeight="false" outlineLevel="0" collapsed="false">
      <c r="L72" s="0" t="s">
        <v>203</v>
      </c>
      <c r="M72" s="0" t="n">
        <v>29.85</v>
      </c>
      <c r="N72" s="0" t="s">
        <v>64</v>
      </c>
      <c r="O72" s="0" t="s">
        <v>94</v>
      </c>
      <c r="P72" s="0" t="s">
        <v>64</v>
      </c>
      <c r="Q72" s="0" t="s">
        <v>64</v>
      </c>
    </row>
    <row r="73" customFormat="false" ht="15" hidden="false" customHeight="false" outlineLevel="0" collapsed="false">
      <c r="L73" s="0" t="s">
        <v>207</v>
      </c>
      <c r="M73" s="0" t="n">
        <v>31.6</v>
      </c>
      <c r="N73" s="0" t="s">
        <v>64</v>
      </c>
      <c r="O73" s="0" t="s">
        <v>94</v>
      </c>
      <c r="P73" s="0" t="s">
        <v>119</v>
      </c>
      <c r="Q73" s="0" t="s">
        <v>64</v>
      </c>
    </row>
    <row r="74" customFormat="false" ht="15" hidden="false" customHeight="false" outlineLevel="0" collapsed="false">
      <c r="L74" s="0" t="s">
        <v>211</v>
      </c>
      <c r="M74" s="0" t="n">
        <v>45.95</v>
      </c>
      <c r="N74" s="0" t="s">
        <v>64</v>
      </c>
      <c r="O74" s="0" t="s">
        <v>64</v>
      </c>
      <c r="P74" s="0" t="s">
        <v>119</v>
      </c>
      <c r="Q74" s="0" t="s">
        <v>120</v>
      </c>
    </row>
    <row r="75" customFormat="false" ht="15" hidden="false" customHeight="false" outlineLevel="0" collapsed="false">
      <c r="L75" s="0" t="s">
        <v>215</v>
      </c>
      <c r="M75" s="0" t="n">
        <v>52</v>
      </c>
      <c r="N75" s="0" t="s">
        <v>64</v>
      </c>
      <c r="O75" s="0" t="s">
        <v>64</v>
      </c>
      <c r="P75" s="0" t="s">
        <v>64</v>
      </c>
      <c r="Q75" s="0" t="s">
        <v>120</v>
      </c>
    </row>
    <row r="76" customFormat="false" ht="15" hidden="false" customHeight="false" outlineLevel="0" collapsed="false">
      <c r="L76" s="0" t="s">
        <v>102</v>
      </c>
    </row>
    <row r="80" customFormat="false" ht="15" hidden="false" customHeight="false" outlineLevel="0" collapsed="false">
      <c r="L80" s="0" t="s">
        <v>234</v>
      </c>
      <c r="M80" s="0" t="s">
        <v>2</v>
      </c>
      <c r="N80" s="0" t="s">
        <v>55</v>
      </c>
      <c r="O80" s="0" t="s">
        <v>56</v>
      </c>
      <c r="P80" s="0" t="s">
        <v>57</v>
      </c>
      <c r="Q80" s="0" t="s">
        <v>58</v>
      </c>
      <c r="R80" s="0" t="s">
        <v>59</v>
      </c>
      <c r="S80" s="0" t="s">
        <v>60</v>
      </c>
    </row>
    <row r="81" customFormat="false" ht="15" hidden="false" customHeight="false" outlineLevel="0" collapsed="false">
      <c r="L81" s="0" t="s">
        <v>150</v>
      </c>
      <c r="M81" s="0" t="s">
        <v>35</v>
      </c>
      <c r="N81" s="0" t="n">
        <v>10</v>
      </c>
      <c r="O81" s="0" t="n">
        <v>0.5</v>
      </c>
      <c r="P81" s="0" t="n">
        <v>0.85</v>
      </c>
      <c r="Q81" s="0" t="n">
        <v>5</v>
      </c>
      <c r="R81" s="0" t="n">
        <v>12.42</v>
      </c>
      <c r="S81" s="0" t="n">
        <v>0.0079</v>
      </c>
    </row>
    <row r="82" customFormat="false" ht="15" hidden="false" customHeight="false" outlineLevel="0" collapsed="false">
      <c r="L82" s="0" t="s">
        <v>150</v>
      </c>
      <c r="M82" s="0" t="s">
        <v>37</v>
      </c>
      <c r="N82" s="0" t="n">
        <v>10</v>
      </c>
      <c r="O82" s="0" t="n">
        <v>1.9</v>
      </c>
      <c r="P82" s="0" t="n">
        <v>2.23</v>
      </c>
      <c r="Q82" s="0" t="s">
        <v>64</v>
      </c>
      <c r="R82" s="0" t="s">
        <v>65</v>
      </c>
      <c r="S82" s="0" t="s">
        <v>66</v>
      </c>
    </row>
    <row r="83" customFormat="false" ht="15" hidden="false" customHeight="false" outlineLevel="0" collapsed="false">
      <c r="L83" s="0" t="s">
        <v>150</v>
      </c>
      <c r="M83" s="0" t="s">
        <v>39</v>
      </c>
      <c r="N83" s="0" t="n">
        <v>10</v>
      </c>
      <c r="O83" s="0" t="n">
        <v>0.2</v>
      </c>
      <c r="P83" s="0" t="n">
        <v>0.42</v>
      </c>
      <c r="Q83" s="0" t="s">
        <v>64</v>
      </c>
      <c r="R83" s="0" t="s">
        <v>65</v>
      </c>
      <c r="S83" s="0" t="s">
        <v>66</v>
      </c>
    </row>
    <row r="84" customFormat="false" ht="15" hidden="false" customHeight="false" outlineLevel="0" collapsed="false">
      <c r="L84" s="0" t="s">
        <v>150</v>
      </c>
      <c r="M84" s="0" t="s">
        <v>34</v>
      </c>
      <c r="N84" s="0" t="n">
        <v>10</v>
      </c>
      <c r="O84" s="0" t="n">
        <v>0.1</v>
      </c>
      <c r="P84" s="0" t="n">
        <v>0.32</v>
      </c>
      <c r="Q84" s="0" t="s">
        <v>64</v>
      </c>
      <c r="R84" s="0" t="s">
        <v>65</v>
      </c>
      <c r="S84" s="0" t="s">
        <v>66</v>
      </c>
    </row>
    <row r="85" customFormat="false" ht="15" hidden="false" customHeight="false" outlineLevel="0" collapsed="false">
      <c r="L85" s="0" t="s">
        <v>150</v>
      </c>
      <c r="M85" s="0" t="s">
        <v>36</v>
      </c>
      <c r="N85" s="0" t="n">
        <v>10</v>
      </c>
      <c r="O85" s="0" t="n">
        <v>2.9</v>
      </c>
      <c r="P85" s="0" t="n">
        <v>4.79</v>
      </c>
      <c r="Q85" s="0" t="s">
        <v>64</v>
      </c>
      <c r="R85" s="0" t="s">
        <v>65</v>
      </c>
      <c r="S85" s="0" t="s">
        <v>66</v>
      </c>
    </row>
    <row r="86" customFormat="false" ht="15" hidden="false" customHeight="false" outlineLevel="0" collapsed="false">
      <c r="L86" s="0" t="s">
        <v>150</v>
      </c>
      <c r="M86" s="0" t="s">
        <v>38</v>
      </c>
      <c r="N86" s="0" t="n">
        <v>10</v>
      </c>
      <c r="O86" s="0" t="n">
        <v>1.8</v>
      </c>
      <c r="P86" s="0" t="n">
        <v>1.99</v>
      </c>
      <c r="Q86" s="0" t="s">
        <v>64</v>
      </c>
      <c r="R86" s="0" t="s">
        <v>65</v>
      </c>
      <c r="S86" s="0" t="s">
        <v>66</v>
      </c>
    </row>
    <row r="88" customFormat="false" ht="15" hidden="false" customHeight="false" outlineLevel="0" collapsed="false">
      <c r="L88" s="0" t="s">
        <v>88</v>
      </c>
      <c r="M88" s="0" t="s">
        <v>89</v>
      </c>
      <c r="N88" s="0" t="s">
        <v>64</v>
      </c>
      <c r="O88" s="0" t="s">
        <v>64</v>
      </c>
    </row>
    <row r="89" customFormat="false" ht="15" hidden="false" customHeight="false" outlineLevel="0" collapsed="false">
      <c r="L89" s="0" t="s">
        <v>215</v>
      </c>
      <c r="M89" s="0" t="n">
        <v>20.15</v>
      </c>
      <c r="N89" s="0" t="s">
        <v>92</v>
      </c>
      <c r="O89" s="0" t="s">
        <v>64</v>
      </c>
    </row>
    <row r="90" customFormat="false" ht="15" hidden="false" customHeight="false" outlineLevel="0" collapsed="false">
      <c r="L90" s="0" t="s">
        <v>207</v>
      </c>
      <c r="M90" s="0" t="n">
        <v>22.3</v>
      </c>
      <c r="N90" s="0" t="s">
        <v>92</v>
      </c>
      <c r="O90" s="0" t="s">
        <v>64</v>
      </c>
    </row>
    <row r="91" customFormat="false" ht="15" hidden="false" customHeight="false" outlineLevel="0" collapsed="false">
      <c r="L91" s="0" t="s">
        <v>211</v>
      </c>
      <c r="M91" s="0" t="n">
        <v>26.35</v>
      </c>
      <c r="N91" s="0" t="s">
        <v>92</v>
      </c>
      <c r="O91" s="0" t="s">
        <v>94</v>
      </c>
    </row>
    <row r="92" customFormat="false" ht="15" hidden="false" customHeight="false" outlineLevel="0" collapsed="false">
      <c r="L92" s="0" t="s">
        <v>203</v>
      </c>
      <c r="M92" s="0" t="n">
        <v>35.25</v>
      </c>
      <c r="N92" s="0" t="s">
        <v>92</v>
      </c>
      <c r="O92" s="0" t="s">
        <v>94</v>
      </c>
    </row>
    <row r="93" customFormat="false" ht="15" hidden="false" customHeight="false" outlineLevel="0" collapsed="false">
      <c r="L93" s="0" t="s">
        <v>198</v>
      </c>
      <c r="M93" s="0" t="n">
        <v>38.15</v>
      </c>
      <c r="N93" s="0" t="s">
        <v>64</v>
      </c>
      <c r="O93" s="0" t="s">
        <v>94</v>
      </c>
    </row>
    <row r="94" customFormat="false" ht="15" hidden="false" customHeight="false" outlineLevel="0" collapsed="false">
      <c r="L94" s="0" t="s">
        <v>199</v>
      </c>
      <c r="M94" s="0" t="n">
        <v>40.8</v>
      </c>
      <c r="N94" s="0" t="s">
        <v>64</v>
      </c>
      <c r="O94" s="0" t="s">
        <v>94</v>
      </c>
    </row>
    <row r="95" customFormat="false" ht="15" hidden="false" customHeight="false" outlineLevel="0" collapsed="false">
      <c r="L95" s="0" t="s">
        <v>102</v>
      </c>
    </row>
    <row r="99" customFormat="false" ht="15" hidden="false" customHeight="false" outlineLevel="0" collapsed="false">
      <c r="L99" s="0" t="s">
        <v>235</v>
      </c>
      <c r="M99" s="0" t="s">
        <v>2</v>
      </c>
      <c r="N99" s="0" t="s">
        <v>55</v>
      </c>
      <c r="O99" s="0" t="s">
        <v>56</v>
      </c>
      <c r="P99" s="0" t="s">
        <v>108</v>
      </c>
      <c r="Q99" s="0" t="s">
        <v>58</v>
      </c>
      <c r="R99" s="0" t="s">
        <v>59</v>
      </c>
      <c r="S99" s="0" t="s">
        <v>109</v>
      </c>
      <c r="W99" s="0" t="s">
        <v>158</v>
      </c>
    </row>
    <row r="100" customFormat="false" ht="15" hidden="false" customHeight="false" outlineLevel="0" collapsed="false">
      <c r="L100" s="0" t="s">
        <v>228</v>
      </c>
      <c r="M100" s="0" t="s">
        <v>35</v>
      </c>
      <c r="N100" s="0" t="n">
        <v>10</v>
      </c>
      <c r="O100" s="0" t="n">
        <v>24.8</v>
      </c>
      <c r="P100" s="0" t="n">
        <v>7.77</v>
      </c>
      <c r="Q100" s="0" t="n">
        <v>5</v>
      </c>
      <c r="R100" s="0" t="n">
        <v>46.38</v>
      </c>
      <c r="S100" s="0" t="s">
        <v>111</v>
      </c>
      <c r="V100" s="0" t="s">
        <v>35</v>
      </c>
      <c r="W100" s="0" t="s">
        <v>172</v>
      </c>
    </row>
    <row r="101" customFormat="false" ht="15" hidden="false" customHeight="false" outlineLevel="0" collapsed="false">
      <c r="L101" s="0" t="s">
        <v>228</v>
      </c>
      <c r="M101" s="0" t="s">
        <v>37</v>
      </c>
      <c r="N101" s="0" t="n">
        <v>10</v>
      </c>
      <c r="O101" s="0" t="n">
        <v>-0.3</v>
      </c>
      <c r="P101" s="0" t="n">
        <v>3.4</v>
      </c>
      <c r="Q101" s="0" t="s">
        <v>64</v>
      </c>
      <c r="R101" s="0" t="s">
        <v>65</v>
      </c>
      <c r="S101" s="0" t="s">
        <v>105</v>
      </c>
      <c r="V101" s="0" t="s">
        <v>37</v>
      </c>
      <c r="W101" s="64" t="s">
        <v>182</v>
      </c>
    </row>
    <row r="102" customFormat="false" ht="15" hidden="false" customHeight="false" outlineLevel="0" collapsed="false">
      <c r="L102" s="0" t="s">
        <v>228</v>
      </c>
      <c r="M102" s="0" t="s">
        <v>39</v>
      </c>
      <c r="N102" s="0" t="n">
        <v>10</v>
      </c>
      <c r="O102" s="0" t="n">
        <v>16.3</v>
      </c>
      <c r="P102" s="0" t="n">
        <v>8.08</v>
      </c>
      <c r="Q102" s="0" t="s">
        <v>64</v>
      </c>
      <c r="R102" s="0" t="s">
        <v>65</v>
      </c>
      <c r="S102" s="0" t="s">
        <v>105</v>
      </c>
      <c r="V102" s="0" t="s">
        <v>39</v>
      </c>
      <c r="W102" s="63" t="s">
        <v>192</v>
      </c>
    </row>
    <row r="103" customFormat="false" ht="15" hidden="false" customHeight="false" outlineLevel="0" collapsed="false">
      <c r="L103" s="0" t="s">
        <v>228</v>
      </c>
      <c r="M103" s="0" t="s">
        <v>34</v>
      </c>
      <c r="N103" s="0" t="n">
        <v>10</v>
      </c>
      <c r="O103" s="0" t="n">
        <v>33.8</v>
      </c>
      <c r="P103" s="0" t="n">
        <v>13.83</v>
      </c>
      <c r="Q103" s="0" t="s">
        <v>64</v>
      </c>
      <c r="R103" s="0" t="s">
        <v>65</v>
      </c>
      <c r="S103" s="0" t="s">
        <v>105</v>
      </c>
      <c r="V103" s="0" t="s">
        <v>34</v>
      </c>
      <c r="W103" s="63" t="s">
        <v>166</v>
      </c>
    </row>
    <row r="104" customFormat="false" ht="15" hidden="false" customHeight="false" outlineLevel="0" collapsed="false">
      <c r="L104" s="0" t="s">
        <v>228</v>
      </c>
      <c r="M104" s="0" t="s">
        <v>36</v>
      </c>
      <c r="N104" s="0" t="n">
        <v>10</v>
      </c>
      <c r="O104" s="0" t="n">
        <v>12.5</v>
      </c>
      <c r="P104" s="0" t="n">
        <v>5.38</v>
      </c>
      <c r="Q104" s="0" t="s">
        <v>64</v>
      </c>
      <c r="R104" s="0" t="s">
        <v>65</v>
      </c>
      <c r="S104" s="0" t="s">
        <v>105</v>
      </c>
      <c r="V104" s="0" t="s">
        <v>36</v>
      </c>
      <c r="W104" s="63" t="s">
        <v>177</v>
      </c>
    </row>
    <row r="105" customFormat="false" ht="15" hidden="false" customHeight="false" outlineLevel="0" collapsed="false">
      <c r="L105" s="0" t="s">
        <v>228</v>
      </c>
      <c r="M105" s="0" t="s">
        <v>38</v>
      </c>
      <c r="N105" s="0" t="n">
        <v>10</v>
      </c>
      <c r="O105" s="0" t="n">
        <v>4.4</v>
      </c>
      <c r="P105" s="0" t="n">
        <v>3.2</v>
      </c>
      <c r="Q105" s="0" t="s">
        <v>64</v>
      </c>
      <c r="R105" s="0" t="s">
        <v>65</v>
      </c>
      <c r="S105" s="0" t="s">
        <v>105</v>
      </c>
      <c r="V105" s="0" t="s">
        <v>38</v>
      </c>
      <c r="W105" s="63" t="s">
        <v>187</v>
      </c>
    </row>
    <row r="107" customFormat="false" ht="15" hidden="false" customHeight="false" outlineLevel="0" collapsed="false">
      <c r="L107" s="0" t="s">
        <v>88</v>
      </c>
      <c r="M107" s="0" t="s">
        <v>89</v>
      </c>
      <c r="N107" s="0" t="s">
        <v>64</v>
      </c>
      <c r="O107" s="0" t="s">
        <v>64</v>
      </c>
      <c r="P107" s="0" t="s">
        <v>64</v>
      </c>
      <c r="Q107" s="0" t="s">
        <v>64</v>
      </c>
      <c r="R107" s="0" t="s">
        <v>64</v>
      </c>
    </row>
    <row r="108" customFormat="false" ht="15" hidden="false" customHeight="false" outlineLevel="0" collapsed="false">
      <c r="L108" s="0" t="s">
        <v>198</v>
      </c>
      <c r="M108" s="0" t="n">
        <v>7.65</v>
      </c>
      <c r="N108" s="0" t="s">
        <v>92</v>
      </c>
      <c r="O108" s="0" t="s">
        <v>64</v>
      </c>
      <c r="P108" s="0" t="s">
        <v>64</v>
      </c>
      <c r="Q108" s="0" t="s">
        <v>64</v>
      </c>
      <c r="R108" s="0" t="s">
        <v>64</v>
      </c>
    </row>
    <row r="109" customFormat="false" ht="15" hidden="false" customHeight="false" outlineLevel="0" collapsed="false">
      <c r="L109" s="0" t="s">
        <v>199</v>
      </c>
      <c r="M109" s="0" t="n">
        <v>15.3</v>
      </c>
      <c r="N109" s="0" t="s">
        <v>92</v>
      </c>
      <c r="O109" s="0" t="s">
        <v>94</v>
      </c>
      <c r="P109" s="0" t="s">
        <v>64</v>
      </c>
      <c r="Q109" s="0" t="s">
        <v>64</v>
      </c>
      <c r="R109" s="0" t="s">
        <v>64</v>
      </c>
    </row>
    <row r="110" customFormat="false" ht="15" hidden="false" customHeight="false" outlineLevel="0" collapsed="false">
      <c r="L110" s="0" t="s">
        <v>203</v>
      </c>
      <c r="M110" s="0" t="n">
        <v>29.4</v>
      </c>
      <c r="N110" s="0" t="s">
        <v>64</v>
      </c>
      <c r="O110" s="0" t="s">
        <v>94</v>
      </c>
      <c r="P110" s="0" t="s">
        <v>119</v>
      </c>
      <c r="Q110" s="0" t="s">
        <v>64</v>
      </c>
      <c r="R110" s="0" t="s">
        <v>64</v>
      </c>
    </row>
    <row r="111" customFormat="false" ht="15" hidden="false" customHeight="false" outlineLevel="0" collapsed="false">
      <c r="L111" s="0" t="s">
        <v>207</v>
      </c>
      <c r="M111" s="0" t="n">
        <v>34.15</v>
      </c>
      <c r="N111" s="0" t="s">
        <v>64</v>
      </c>
      <c r="O111" s="0" t="s">
        <v>64</v>
      </c>
      <c r="P111" s="0" t="s">
        <v>119</v>
      </c>
      <c r="Q111" s="0" t="s">
        <v>120</v>
      </c>
      <c r="R111" s="0" t="s">
        <v>64</v>
      </c>
    </row>
    <row r="112" customFormat="false" ht="15" hidden="false" customHeight="false" outlineLevel="0" collapsed="false">
      <c r="L112" s="0" t="s">
        <v>211</v>
      </c>
      <c r="M112" s="0" t="n">
        <v>45.35</v>
      </c>
      <c r="N112" s="0" t="s">
        <v>64</v>
      </c>
      <c r="O112" s="0" t="s">
        <v>64</v>
      </c>
      <c r="P112" s="0" t="s">
        <v>64</v>
      </c>
      <c r="Q112" s="0" t="s">
        <v>120</v>
      </c>
      <c r="R112" s="0" t="s">
        <v>236</v>
      </c>
    </row>
    <row r="113" customFormat="false" ht="15" hidden="false" customHeight="false" outlineLevel="0" collapsed="false">
      <c r="L113" s="0" t="s">
        <v>215</v>
      </c>
      <c r="M113" s="0" t="n">
        <v>51.15</v>
      </c>
      <c r="N113" s="0" t="s">
        <v>64</v>
      </c>
      <c r="O113" s="0" t="s">
        <v>64</v>
      </c>
      <c r="P113" s="0" t="s">
        <v>64</v>
      </c>
      <c r="Q113" s="0" t="s">
        <v>64</v>
      </c>
      <c r="R113" s="0" t="s">
        <v>236</v>
      </c>
    </row>
    <row r="114" customFormat="false" ht="15" hidden="false" customHeight="false" outlineLevel="0" collapsed="false">
      <c r="L114" s="0" t="s">
        <v>102</v>
      </c>
    </row>
    <row r="118" customFormat="false" ht="15" hidden="false" customHeight="false" outlineLevel="0" collapsed="false">
      <c r="L118" s="0" t="s">
        <v>235</v>
      </c>
      <c r="M118" s="0" t="s">
        <v>2</v>
      </c>
      <c r="N118" s="0" t="s">
        <v>55</v>
      </c>
      <c r="O118" s="0" t="s">
        <v>56</v>
      </c>
      <c r="P118" s="0" t="s">
        <v>57</v>
      </c>
      <c r="Q118" s="0" t="s">
        <v>58</v>
      </c>
      <c r="R118" s="0" t="s">
        <v>59</v>
      </c>
      <c r="S118" s="0" t="s">
        <v>60</v>
      </c>
      <c r="W118" s="0" t="s">
        <v>158</v>
      </c>
      <c r="X118" s="0" t="s">
        <v>159</v>
      </c>
    </row>
    <row r="119" customFormat="false" ht="15" hidden="false" customHeight="false" outlineLevel="0" collapsed="false">
      <c r="L119" s="0" t="s">
        <v>229</v>
      </c>
      <c r="M119" s="0" t="s">
        <v>35</v>
      </c>
      <c r="N119" s="0" t="n">
        <v>10</v>
      </c>
      <c r="O119" s="0" t="n">
        <v>6.1</v>
      </c>
      <c r="P119" s="0" t="n">
        <v>5.47</v>
      </c>
      <c r="Q119" s="0" t="n">
        <v>5</v>
      </c>
      <c r="R119" s="0" t="n">
        <v>23.98</v>
      </c>
      <c r="S119" s="0" t="n">
        <v>0.0002</v>
      </c>
      <c r="V119" s="0" t="s">
        <v>35</v>
      </c>
      <c r="W119" s="0" t="s">
        <v>172</v>
      </c>
      <c r="X119" s="0" t="s">
        <v>237</v>
      </c>
    </row>
    <row r="120" customFormat="false" ht="15" hidden="false" customHeight="false" outlineLevel="0" collapsed="false">
      <c r="L120" s="0" t="s">
        <v>229</v>
      </c>
      <c r="M120" s="0" t="s">
        <v>37</v>
      </c>
      <c r="N120" s="0" t="n">
        <v>10</v>
      </c>
      <c r="O120" s="0" t="n">
        <v>0.8</v>
      </c>
      <c r="P120" s="0" t="n">
        <v>3.74</v>
      </c>
      <c r="Q120" s="0" t="s">
        <v>64</v>
      </c>
      <c r="R120" s="0" t="s">
        <v>65</v>
      </c>
      <c r="S120" s="0" t="s">
        <v>66</v>
      </c>
      <c r="V120" s="0" t="s">
        <v>37</v>
      </c>
      <c r="W120" s="64" t="s">
        <v>182</v>
      </c>
      <c r="X120" s="0" t="s">
        <v>238</v>
      </c>
    </row>
    <row r="121" customFormat="false" ht="15" hidden="false" customHeight="false" outlineLevel="0" collapsed="false">
      <c r="L121" s="0" t="s">
        <v>229</v>
      </c>
      <c r="M121" s="0" t="s">
        <v>39</v>
      </c>
      <c r="N121" s="0" t="n">
        <v>10</v>
      </c>
      <c r="O121" s="0" t="n">
        <v>3.1</v>
      </c>
      <c r="P121" s="0" t="n">
        <v>1.52</v>
      </c>
      <c r="Q121" s="0" t="s">
        <v>64</v>
      </c>
      <c r="R121" s="0" t="s">
        <v>65</v>
      </c>
      <c r="S121" s="0" t="s">
        <v>66</v>
      </c>
      <c r="V121" s="0" t="s">
        <v>39</v>
      </c>
      <c r="W121" s="63" t="s">
        <v>192</v>
      </c>
      <c r="X121" s="0" t="s">
        <v>239</v>
      </c>
    </row>
    <row r="122" customFormat="false" ht="15" hidden="false" customHeight="false" outlineLevel="0" collapsed="false">
      <c r="L122" s="0" t="s">
        <v>229</v>
      </c>
      <c r="M122" s="0" t="s">
        <v>34</v>
      </c>
      <c r="N122" s="0" t="n">
        <v>10</v>
      </c>
      <c r="O122" s="0" t="n">
        <v>7.4</v>
      </c>
      <c r="P122" s="0" t="n">
        <v>3.69</v>
      </c>
      <c r="Q122" s="0" t="s">
        <v>64</v>
      </c>
      <c r="R122" s="0" t="s">
        <v>65</v>
      </c>
      <c r="S122" s="0" t="s">
        <v>66</v>
      </c>
      <c r="V122" s="0" t="s">
        <v>34</v>
      </c>
      <c r="W122" s="63" t="s">
        <v>166</v>
      </c>
      <c r="X122" s="0" t="s">
        <v>240</v>
      </c>
    </row>
    <row r="123" customFormat="false" ht="15" hidden="false" customHeight="false" outlineLevel="0" collapsed="false">
      <c r="L123" s="0" t="s">
        <v>229</v>
      </c>
      <c r="M123" s="0" t="s">
        <v>36</v>
      </c>
      <c r="N123" s="0" t="n">
        <v>10</v>
      </c>
      <c r="O123" s="0" t="n">
        <v>-0.2</v>
      </c>
      <c r="P123" s="0" t="n">
        <v>4.71</v>
      </c>
      <c r="Q123" s="0" t="s">
        <v>64</v>
      </c>
      <c r="R123" s="0" t="s">
        <v>65</v>
      </c>
      <c r="S123" s="0" t="s">
        <v>66</v>
      </c>
      <c r="V123" s="0" t="s">
        <v>36</v>
      </c>
      <c r="W123" s="63" t="s">
        <v>177</v>
      </c>
      <c r="X123" s="63" t="s">
        <v>178</v>
      </c>
    </row>
    <row r="124" customFormat="false" ht="15" hidden="false" customHeight="false" outlineLevel="0" collapsed="false">
      <c r="L124" s="0" t="s">
        <v>229</v>
      </c>
      <c r="M124" s="0" t="s">
        <v>38</v>
      </c>
      <c r="N124" s="0" t="n">
        <v>10</v>
      </c>
      <c r="O124" s="0" t="n">
        <v>0.7</v>
      </c>
      <c r="P124" s="0" t="n">
        <v>2.95</v>
      </c>
      <c r="Q124" s="0" t="s">
        <v>64</v>
      </c>
      <c r="R124" s="0" t="s">
        <v>65</v>
      </c>
      <c r="S124" s="0" t="s">
        <v>66</v>
      </c>
      <c r="V124" s="0" t="s">
        <v>38</v>
      </c>
      <c r="W124" s="63" t="s">
        <v>187</v>
      </c>
      <c r="X124" s="63" t="s">
        <v>241</v>
      </c>
    </row>
    <row r="126" customFormat="false" ht="15" hidden="false" customHeight="false" outlineLevel="0" collapsed="false">
      <c r="L126" s="0" t="s">
        <v>88</v>
      </c>
      <c r="M126" s="0" t="s">
        <v>89</v>
      </c>
      <c r="N126" s="0" t="s">
        <v>64</v>
      </c>
      <c r="O126" s="0" t="s">
        <v>64</v>
      </c>
    </row>
    <row r="127" customFormat="false" ht="15" hidden="false" customHeight="false" outlineLevel="0" collapsed="false">
      <c r="L127" s="0" t="s">
        <v>199</v>
      </c>
      <c r="M127" s="0" t="n">
        <v>19.7</v>
      </c>
      <c r="N127" s="0" t="s">
        <v>92</v>
      </c>
      <c r="O127" s="0" t="s">
        <v>64</v>
      </c>
    </row>
    <row r="128" customFormat="false" ht="15" hidden="false" customHeight="false" outlineLevel="0" collapsed="false">
      <c r="L128" s="0" t="s">
        <v>203</v>
      </c>
      <c r="M128" s="0" t="n">
        <v>20.1</v>
      </c>
      <c r="N128" s="0" t="s">
        <v>92</v>
      </c>
      <c r="O128" s="0" t="s">
        <v>64</v>
      </c>
    </row>
    <row r="129" customFormat="false" ht="15" hidden="false" customHeight="false" outlineLevel="0" collapsed="false">
      <c r="L129" s="0" t="s">
        <v>198</v>
      </c>
      <c r="M129" s="0" t="n">
        <v>21.35</v>
      </c>
      <c r="N129" s="0" t="s">
        <v>92</v>
      </c>
      <c r="O129" s="0" t="s">
        <v>64</v>
      </c>
    </row>
    <row r="130" customFormat="false" ht="15" hidden="false" customHeight="false" outlineLevel="0" collapsed="false">
      <c r="L130" s="0" t="s">
        <v>207</v>
      </c>
      <c r="M130" s="0" t="n">
        <v>32.65</v>
      </c>
      <c r="N130" s="0" t="s">
        <v>92</v>
      </c>
      <c r="O130" s="0" t="s">
        <v>94</v>
      </c>
    </row>
    <row r="131" customFormat="false" ht="15" hidden="false" customHeight="false" outlineLevel="0" collapsed="false">
      <c r="L131" s="0" t="s">
        <v>211</v>
      </c>
      <c r="M131" s="0" t="n">
        <v>41.4</v>
      </c>
      <c r="N131" s="0" t="s">
        <v>64</v>
      </c>
      <c r="O131" s="0" t="s">
        <v>94</v>
      </c>
    </row>
    <row r="132" customFormat="false" ht="15" hidden="false" customHeight="false" outlineLevel="0" collapsed="false">
      <c r="L132" s="0" t="s">
        <v>215</v>
      </c>
      <c r="M132" s="0" t="n">
        <v>47.8</v>
      </c>
      <c r="N132" s="0" t="s">
        <v>64</v>
      </c>
      <c r="O132" s="0" t="s">
        <v>94</v>
      </c>
    </row>
    <row r="133" customFormat="false" ht="15" hidden="false" customHeight="false" outlineLevel="0" collapsed="false">
      <c r="L133" s="0" t="s">
        <v>102</v>
      </c>
    </row>
    <row r="137" customFormat="false" ht="15" hidden="false" customHeight="false" outlineLevel="0" collapsed="false">
      <c r="L137" s="0" t="s">
        <v>235</v>
      </c>
      <c r="M137" s="0" t="s">
        <v>2</v>
      </c>
      <c r="N137" s="0" t="s">
        <v>55</v>
      </c>
      <c r="O137" s="0" t="s">
        <v>56</v>
      </c>
      <c r="P137" s="0" t="s">
        <v>57</v>
      </c>
      <c r="Q137" s="0" t="s">
        <v>58</v>
      </c>
      <c r="R137" s="0" t="s">
        <v>59</v>
      </c>
      <c r="S137" s="0" t="s">
        <v>60</v>
      </c>
    </row>
    <row r="138" customFormat="false" ht="15" hidden="false" customHeight="false" outlineLevel="0" collapsed="false">
      <c r="L138" s="0" t="s">
        <v>230</v>
      </c>
      <c r="M138" s="0" t="s">
        <v>35</v>
      </c>
      <c r="N138" s="0" t="n">
        <v>10</v>
      </c>
      <c r="O138" s="0" t="n">
        <v>5.1</v>
      </c>
      <c r="P138" s="0" t="n">
        <v>3.96</v>
      </c>
      <c r="Q138" s="0" t="n">
        <v>5</v>
      </c>
      <c r="R138" s="0" t="n">
        <v>22.37</v>
      </c>
      <c r="S138" s="0" t="n">
        <v>0.0004</v>
      </c>
    </row>
    <row r="139" customFormat="false" ht="15" hidden="false" customHeight="false" outlineLevel="0" collapsed="false">
      <c r="L139" s="0" t="s">
        <v>230</v>
      </c>
      <c r="M139" s="0" t="s">
        <v>37</v>
      </c>
      <c r="N139" s="0" t="n">
        <v>10</v>
      </c>
      <c r="O139" s="0" t="n">
        <v>0.5</v>
      </c>
      <c r="P139" s="0" t="n">
        <v>3.92</v>
      </c>
      <c r="Q139" s="0" t="s">
        <v>64</v>
      </c>
      <c r="R139" s="0" t="s">
        <v>65</v>
      </c>
      <c r="S139" s="0" t="s">
        <v>66</v>
      </c>
    </row>
    <row r="140" customFormat="false" ht="15" hidden="false" customHeight="false" outlineLevel="0" collapsed="false">
      <c r="L140" s="0" t="s">
        <v>230</v>
      </c>
      <c r="M140" s="0" t="s">
        <v>39</v>
      </c>
      <c r="N140" s="0" t="n">
        <v>10</v>
      </c>
      <c r="O140" s="0" t="n">
        <v>3.5</v>
      </c>
      <c r="P140" s="0" t="n">
        <v>3.27</v>
      </c>
      <c r="Q140" s="0" t="s">
        <v>64</v>
      </c>
      <c r="R140" s="0" t="s">
        <v>65</v>
      </c>
      <c r="S140" s="0" t="s">
        <v>66</v>
      </c>
    </row>
    <row r="141" customFormat="false" ht="15" hidden="false" customHeight="false" outlineLevel="0" collapsed="false">
      <c r="L141" s="0" t="s">
        <v>230</v>
      </c>
      <c r="M141" s="0" t="s">
        <v>34</v>
      </c>
      <c r="N141" s="0" t="n">
        <v>10</v>
      </c>
      <c r="O141" s="0" t="n">
        <v>8.3</v>
      </c>
      <c r="P141" s="0" t="n">
        <v>5.72</v>
      </c>
      <c r="Q141" s="0" t="s">
        <v>64</v>
      </c>
      <c r="R141" s="0" t="s">
        <v>65</v>
      </c>
      <c r="S141" s="0" t="s">
        <v>66</v>
      </c>
    </row>
    <row r="142" customFormat="false" ht="15" hidden="false" customHeight="false" outlineLevel="0" collapsed="false">
      <c r="L142" s="0" t="s">
        <v>230</v>
      </c>
      <c r="M142" s="0" t="s">
        <v>36</v>
      </c>
      <c r="N142" s="0" t="n">
        <v>10</v>
      </c>
      <c r="O142" s="0" t="n">
        <v>0.5</v>
      </c>
      <c r="P142" s="0" t="n">
        <v>4.62</v>
      </c>
      <c r="Q142" s="0" t="s">
        <v>64</v>
      </c>
      <c r="R142" s="0" t="s">
        <v>65</v>
      </c>
      <c r="S142" s="0" t="s">
        <v>66</v>
      </c>
    </row>
    <row r="143" customFormat="false" ht="15" hidden="false" customHeight="false" outlineLevel="0" collapsed="false">
      <c r="L143" s="0" t="s">
        <v>230</v>
      </c>
      <c r="M143" s="0" t="s">
        <v>38</v>
      </c>
      <c r="N143" s="0" t="n">
        <v>10</v>
      </c>
      <c r="O143" s="0" t="n">
        <v>-0.5</v>
      </c>
      <c r="P143" s="0" t="n">
        <v>2.07</v>
      </c>
      <c r="Q143" s="0" t="s">
        <v>64</v>
      </c>
      <c r="R143" s="0" t="s">
        <v>65</v>
      </c>
      <c r="S143" s="0" t="s">
        <v>66</v>
      </c>
    </row>
    <row r="145" customFormat="false" ht="15" hidden="false" customHeight="false" outlineLevel="0" collapsed="false">
      <c r="L145" s="0" t="s">
        <v>88</v>
      </c>
      <c r="M145" s="0" t="s">
        <v>89</v>
      </c>
      <c r="N145" s="0" t="s">
        <v>64</v>
      </c>
      <c r="O145" s="0" t="s">
        <v>64</v>
      </c>
      <c r="P145" s="0" t="s">
        <v>64</v>
      </c>
      <c r="Q145" s="0" t="s">
        <v>64</v>
      </c>
    </row>
    <row r="146" customFormat="false" ht="15" hidden="false" customHeight="false" outlineLevel="0" collapsed="false">
      <c r="L146" s="0" t="s">
        <v>199</v>
      </c>
      <c r="M146" s="0" t="n">
        <v>15.35</v>
      </c>
      <c r="N146" s="0" t="s">
        <v>92</v>
      </c>
      <c r="O146" s="0" t="s">
        <v>64</v>
      </c>
      <c r="P146" s="0" t="s">
        <v>64</v>
      </c>
      <c r="Q146" s="0" t="s">
        <v>64</v>
      </c>
    </row>
    <row r="147" customFormat="false" ht="15" hidden="false" customHeight="false" outlineLevel="0" collapsed="false">
      <c r="L147" s="0" t="s">
        <v>198</v>
      </c>
      <c r="M147" s="0" t="n">
        <v>22.35</v>
      </c>
      <c r="N147" s="0" t="s">
        <v>92</v>
      </c>
      <c r="O147" s="0" t="s">
        <v>94</v>
      </c>
      <c r="P147" s="0" t="s">
        <v>64</v>
      </c>
      <c r="Q147" s="0" t="s">
        <v>64</v>
      </c>
    </row>
    <row r="148" customFormat="false" ht="15" hidden="false" customHeight="false" outlineLevel="0" collapsed="false">
      <c r="L148" s="0" t="s">
        <v>203</v>
      </c>
      <c r="M148" s="0" t="n">
        <v>24.85</v>
      </c>
      <c r="N148" s="0" t="s">
        <v>92</v>
      </c>
      <c r="O148" s="0" t="s">
        <v>94</v>
      </c>
      <c r="P148" s="0" t="s">
        <v>119</v>
      </c>
      <c r="Q148" s="0" t="s">
        <v>64</v>
      </c>
    </row>
    <row r="149" customFormat="false" ht="15" hidden="false" customHeight="false" outlineLevel="0" collapsed="false">
      <c r="L149" s="0" t="s">
        <v>207</v>
      </c>
      <c r="M149" s="0" t="n">
        <v>34.1</v>
      </c>
      <c r="N149" s="0" t="s">
        <v>64</v>
      </c>
      <c r="O149" s="0" t="s">
        <v>94</v>
      </c>
      <c r="P149" s="0" t="s">
        <v>119</v>
      </c>
      <c r="Q149" s="0" t="s">
        <v>120</v>
      </c>
    </row>
    <row r="150" customFormat="false" ht="15" hidden="false" customHeight="false" outlineLevel="0" collapsed="false">
      <c r="L150" s="0" t="s">
        <v>211</v>
      </c>
      <c r="M150" s="0" t="n">
        <v>40</v>
      </c>
      <c r="N150" s="0" t="s">
        <v>64</v>
      </c>
      <c r="O150" s="0" t="s">
        <v>64</v>
      </c>
      <c r="P150" s="0" t="s">
        <v>119</v>
      </c>
      <c r="Q150" s="0" t="s">
        <v>120</v>
      </c>
    </row>
    <row r="151" customFormat="false" ht="15" hidden="false" customHeight="false" outlineLevel="0" collapsed="false">
      <c r="L151" s="0" t="s">
        <v>215</v>
      </c>
      <c r="M151" s="0" t="n">
        <v>46.35</v>
      </c>
      <c r="N151" s="0" t="s">
        <v>64</v>
      </c>
      <c r="O151" s="0" t="s">
        <v>64</v>
      </c>
      <c r="P151" s="0" t="s">
        <v>64</v>
      </c>
      <c r="Q151" s="0" t="s">
        <v>120</v>
      </c>
    </row>
    <row r="152" customFormat="false" ht="15" hidden="false" customHeight="false" outlineLevel="0" collapsed="false">
      <c r="L152" s="0" t="s">
        <v>102</v>
      </c>
    </row>
    <row r="156" customFormat="false" ht="15" hidden="false" customHeight="false" outlineLevel="0" collapsed="false">
      <c r="L156" s="0" t="s">
        <v>242</v>
      </c>
      <c r="M156" s="0" t="s">
        <v>2</v>
      </c>
      <c r="N156" s="0" t="s">
        <v>55</v>
      </c>
      <c r="O156" s="0" t="s">
        <v>56</v>
      </c>
      <c r="P156" s="0" t="s">
        <v>108</v>
      </c>
      <c r="Q156" s="0" t="s">
        <v>58</v>
      </c>
      <c r="R156" s="0" t="s">
        <v>59</v>
      </c>
      <c r="S156" s="0" t="s">
        <v>109</v>
      </c>
    </row>
    <row r="157" customFormat="false" ht="15" hidden="false" customHeight="false" outlineLevel="0" collapsed="false">
      <c r="L157" s="0" t="s">
        <v>231</v>
      </c>
      <c r="M157" s="0" t="s">
        <v>35</v>
      </c>
      <c r="N157" s="0" t="n">
        <v>10</v>
      </c>
      <c r="O157" s="0" t="n">
        <v>37</v>
      </c>
      <c r="P157" s="0" t="n">
        <v>8.96</v>
      </c>
      <c r="Q157" s="0" t="n">
        <v>5</v>
      </c>
      <c r="R157" s="0" t="n">
        <v>47.82</v>
      </c>
      <c r="S157" s="0" t="s">
        <v>111</v>
      </c>
    </row>
    <row r="158" customFormat="false" ht="15" hidden="false" customHeight="false" outlineLevel="0" collapsed="false">
      <c r="L158" s="0" t="s">
        <v>231</v>
      </c>
      <c r="M158" s="0" t="s">
        <v>37</v>
      </c>
      <c r="N158" s="0" t="n">
        <v>10</v>
      </c>
      <c r="O158" s="0" t="n">
        <v>4.8</v>
      </c>
      <c r="P158" s="0" t="n">
        <v>6.3</v>
      </c>
      <c r="Q158" s="0" t="s">
        <v>64</v>
      </c>
      <c r="R158" s="0" t="s">
        <v>65</v>
      </c>
      <c r="S158" s="0" t="s">
        <v>105</v>
      </c>
    </row>
    <row r="159" customFormat="false" ht="15" hidden="false" customHeight="false" outlineLevel="0" collapsed="false">
      <c r="L159" s="0" t="s">
        <v>231</v>
      </c>
      <c r="M159" s="0" t="s">
        <v>39</v>
      </c>
      <c r="N159" s="0" t="n">
        <v>10</v>
      </c>
      <c r="O159" s="0" t="n">
        <v>23.3</v>
      </c>
      <c r="P159" s="0" t="n">
        <v>10.07</v>
      </c>
      <c r="Q159" s="0" t="s">
        <v>64</v>
      </c>
      <c r="R159" s="0" t="s">
        <v>65</v>
      </c>
      <c r="S159" s="0" t="s">
        <v>105</v>
      </c>
    </row>
    <row r="160" customFormat="false" ht="15" hidden="false" customHeight="false" outlineLevel="0" collapsed="false">
      <c r="L160" s="0" t="s">
        <v>231</v>
      </c>
      <c r="M160" s="0" t="s">
        <v>34</v>
      </c>
      <c r="N160" s="0" t="n">
        <v>10</v>
      </c>
      <c r="O160" s="0" t="n">
        <v>49.7</v>
      </c>
      <c r="P160" s="0" t="n">
        <v>15.2</v>
      </c>
      <c r="Q160" s="0" t="s">
        <v>64</v>
      </c>
      <c r="R160" s="0" t="s">
        <v>65</v>
      </c>
      <c r="S160" s="0" t="s">
        <v>105</v>
      </c>
    </row>
    <row r="161" customFormat="false" ht="15" hidden="false" customHeight="false" outlineLevel="0" collapsed="false">
      <c r="L161" s="0" t="s">
        <v>231</v>
      </c>
      <c r="M161" s="0" t="s">
        <v>36</v>
      </c>
      <c r="N161" s="0" t="n">
        <v>10</v>
      </c>
      <c r="O161" s="0" t="n">
        <v>18.6</v>
      </c>
      <c r="P161" s="0" t="n">
        <v>5.83</v>
      </c>
      <c r="Q161" s="0" t="s">
        <v>64</v>
      </c>
      <c r="R161" s="0" t="s">
        <v>65</v>
      </c>
      <c r="S161" s="0" t="s">
        <v>105</v>
      </c>
    </row>
    <row r="162" customFormat="false" ht="15" hidden="false" customHeight="false" outlineLevel="0" collapsed="false">
      <c r="L162" s="0" t="s">
        <v>231</v>
      </c>
      <c r="M162" s="0" t="s">
        <v>38</v>
      </c>
      <c r="N162" s="0" t="n">
        <v>10</v>
      </c>
      <c r="O162" s="0" t="n">
        <v>8.2</v>
      </c>
      <c r="P162" s="0" t="n">
        <v>5.9</v>
      </c>
      <c r="Q162" s="0" t="s">
        <v>64</v>
      </c>
      <c r="R162" s="0" t="s">
        <v>65</v>
      </c>
      <c r="S162" s="0" t="s">
        <v>105</v>
      </c>
    </row>
    <row r="164" customFormat="false" ht="15" hidden="false" customHeight="false" outlineLevel="0" collapsed="false">
      <c r="L164" s="0" t="s">
        <v>88</v>
      </c>
      <c r="M164" s="0" t="s">
        <v>89</v>
      </c>
      <c r="N164" s="0" t="s">
        <v>64</v>
      </c>
      <c r="O164" s="0" t="s">
        <v>64</v>
      </c>
      <c r="P164" s="0" t="s">
        <v>64</v>
      </c>
      <c r="Q164" s="0" t="s">
        <v>64</v>
      </c>
    </row>
    <row r="165" customFormat="false" ht="15" hidden="false" customHeight="false" outlineLevel="0" collapsed="false">
      <c r="L165" s="0" t="s">
        <v>198</v>
      </c>
      <c r="M165" s="0" t="n">
        <v>9.6</v>
      </c>
      <c r="N165" s="0" t="s">
        <v>92</v>
      </c>
      <c r="O165" s="0" t="s">
        <v>64</v>
      </c>
      <c r="P165" s="0" t="s">
        <v>64</v>
      </c>
      <c r="Q165" s="0" t="s">
        <v>64</v>
      </c>
    </row>
    <row r="166" customFormat="false" ht="15" hidden="false" customHeight="false" outlineLevel="0" collapsed="false">
      <c r="L166" s="0" t="s">
        <v>199</v>
      </c>
      <c r="M166" s="0" t="n">
        <v>13.25</v>
      </c>
      <c r="N166" s="0" t="s">
        <v>92</v>
      </c>
      <c r="O166" s="0" t="s">
        <v>64</v>
      </c>
      <c r="P166" s="0" t="s">
        <v>64</v>
      </c>
      <c r="Q166" s="0" t="s">
        <v>64</v>
      </c>
    </row>
    <row r="167" customFormat="false" ht="15" hidden="false" customHeight="false" outlineLevel="0" collapsed="false">
      <c r="L167" s="0" t="s">
        <v>203</v>
      </c>
      <c r="M167" s="0" t="n">
        <v>28.75</v>
      </c>
      <c r="N167" s="0" t="s">
        <v>64</v>
      </c>
      <c r="O167" s="0" t="s">
        <v>94</v>
      </c>
      <c r="P167" s="0" t="s">
        <v>64</v>
      </c>
      <c r="Q167" s="0" t="s">
        <v>64</v>
      </c>
    </row>
    <row r="168" customFormat="false" ht="15" hidden="false" customHeight="false" outlineLevel="0" collapsed="false">
      <c r="L168" s="0" t="s">
        <v>207</v>
      </c>
      <c r="M168" s="0" t="n">
        <v>33.1</v>
      </c>
      <c r="N168" s="0" t="s">
        <v>64</v>
      </c>
      <c r="O168" s="0" t="s">
        <v>94</v>
      </c>
      <c r="P168" s="0" t="s">
        <v>119</v>
      </c>
      <c r="Q168" s="0" t="s">
        <v>64</v>
      </c>
    </row>
    <row r="169" customFormat="false" ht="15" hidden="false" customHeight="false" outlineLevel="0" collapsed="false">
      <c r="L169" s="0" t="s">
        <v>211</v>
      </c>
      <c r="M169" s="0" t="n">
        <v>46.1</v>
      </c>
      <c r="N169" s="0" t="s">
        <v>64</v>
      </c>
      <c r="O169" s="0" t="s">
        <v>64</v>
      </c>
      <c r="P169" s="0" t="s">
        <v>119</v>
      </c>
      <c r="Q169" s="0" t="s">
        <v>120</v>
      </c>
    </row>
    <row r="170" customFormat="false" ht="15" hidden="false" customHeight="false" outlineLevel="0" collapsed="false">
      <c r="L170" s="0" t="s">
        <v>215</v>
      </c>
      <c r="M170" s="0" t="n">
        <v>52.2</v>
      </c>
      <c r="N170" s="0" t="s">
        <v>64</v>
      </c>
      <c r="O170" s="0" t="s">
        <v>64</v>
      </c>
      <c r="P170" s="0" t="s">
        <v>64</v>
      </c>
      <c r="Q170" s="0" t="s">
        <v>120</v>
      </c>
    </row>
    <row r="171" customFormat="false" ht="15" hidden="false" customHeight="false" outlineLevel="0" collapsed="false">
      <c r="L171" s="0" t="s">
        <v>102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4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S38" activeCellId="0" sqref="S38"/>
    </sheetView>
  </sheetViews>
  <sheetFormatPr defaultColWidth="10.515625" defaultRowHeight="15" zeroHeight="false" outlineLevelRow="0" outlineLevelCol="0"/>
  <cols>
    <col collapsed="false" customWidth="true" hidden="false" outlineLevel="0" max="9" min="9" style="0" width="6.01"/>
    <col collapsed="false" customWidth="true" hidden="false" outlineLevel="0" max="10" min="10" style="0" width="7.57"/>
    <col collapsed="false" customWidth="true" hidden="false" outlineLevel="0" max="11" min="11" style="0" width="2.57"/>
    <col collapsed="false" customWidth="true" hidden="false" outlineLevel="0" max="12" min="12" style="0" width="2.71"/>
  </cols>
  <sheetData>
    <row r="1" customFormat="false" ht="15" hidden="false" customHeight="false" outlineLevel="0" collapsed="false">
      <c r="A1" s="0" t="s">
        <v>2</v>
      </c>
      <c r="B1" s="0" t="s">
        <v>243</v>
      </c>
      <c r="C1" s="0" t="s">
        <v>244</v>
      </c>
    </row>
    <row r="2" customFormat="false" ht="15" hidden="false" customHeight="false" outlineLevel="0" collapsed="false">
      <c r="A2" s="0" t="s">
        <v>34</v>
      </c>
      <c r="B2" s="0" t="s">
        <v>245</v>
      </c>
      <c r="C2" s="0" t="n">
        <v>35</v>
      </c>
      <c r="E2" s="0" t="s">
        <v>246</v>
      </c>
    </row>
    <row r="3" customFormat="false" ht="15" hidden="false" customHeight="false" outlineLevel="0" collapsed="false">
      <c r="A3" s="0" t="s">
        <v>34</v>
      </c>
      <c r="B3" s="0" t="s">
        <v>245</v>
      </c>
      <c r="C3" s="0" t="n">
        <v>51</v>
      </c>
    </row>
    <row r="4" customFormat="false" ht="15" hidden="false" customHeight="false" outlineLevel="0" collapsed="false">
      <c r="A4" s="0" t="s">
        <v>34</v>
      </c>
      <c r="B4" s="0" t="s">
        <v>245</v>
      </c>
      <c r="C4" s="0" t="n">
        <v>32</v>
      </c>
      <c r="E4" s="0" t="s">
        <v>247</v>
      </c>
      <c r="F4" s="0" t="s">
        <v>248</v>
      </c>
      <c r="G4" s="0" t="s">
        <v>70</v>
      </c>
      <c r="H4" s="0" t="s">
        <v>71</v>
      </c>
      <c r="I4" s="0" t="s">
        <v>249</v>
      </c>
    </row>
    <row r="5" customFormat="false" ht="15" hidden="false" customHeight="false" outlineLevel="0" collapsed="false">
      <c r="A5" s="0" t="s">
        <v>34</v>
      </c>
      <c r="B5" s="0" t="s">
        <v>245</v>
      </c>
      <c r="C5" s="0" t="n">
        <v>27</v>
      </c>
      <c r="E5" s="0" t="s">
        <v>244</v>
      </c>
      <c r="F5" s="0" t="n">
        <v>180</v>
      </c>
      <c r="G5" s="0" t="n">
        <v>0.75</v>
      </c>
      <c r="H5" s="0" t="n">
        <v>0.72</v>
      </c>
      <c r="I5" s="0" t="n">
        <v>79.08</v>
      </c>
    </row>
    <row r="6" customFormat="false" ht="15" hidden="false" customHeight="false" outlineLevel="0" collapsed="false">
      <c r="A6" s="0" t="s">
        <v>34</v>
      </c>
      <c r="B6" s="0" t="s">
        <v>245</v>
      </c>
      <c r="C6" s="0" t="n">
        <v>61</v>
      </c>
    </row>
    <row r="7" customFormat="false" ht="15" hidden="false" customHeight="false" outlineLevel="0" collapsed="false">
      <c r="A7" s="0" t="s">
        <v>34</v>
      </c>
      <c r="B7" s="0" t="s">
        <v>245</v>
      </c>
      <c r="C7" s="0" t="n">
        <v>20</v>
      </c>
      <c r="E7" s="0" t="s">
        <v>95</v>
      </c>
    </row>
    <row r="8" customFormat="false" ht="15" hidden="false" customHeight="false" outlineLevel="0" collapsed="false">
      <c r="A8" s="0" t="s">
        <v>34</v>
      </c>
      <c r="B8" s="0" t="s">
        <v>245</v>
      </c>
      <c r="C8" s="0" t="n">
        <v>30</v>
      </c>
      <c r="E8" s="0" t="s">
        <v>250</v>
      </c>
      <c r="F8" s="0" t="s">
        <v>251</v>
      </c>
      <c r="G8" s="0" t="s">
        <v>252</v>
      </c>
      <c r="H8" s="0" t="s">
        <v>253</v>
      </c>
      <c r="I8" s="0" t="s">
        <v>254</v>
      </c>
      <c r="J8" s="0" t="s">
        <v>86</v>
      </c>
      <c r="K8" s="0" t="s">
        <v>64</v>
      </c>
    </row>
    <row r="9" customFormat="false" ht="15" hidden="false" customHeight="false" outlineLevel="0" collapsed="false">
      <c r="A9" s="0" t="s">
        <v>34</v>
      </c>
      <c r="B9" s="0" t="s">
        <v>245</v>
      </c>
      <c r="C9" s="0" t="n">
        <v>41</v>
      </c>
      <c r="E9" s="0" t="s">
        <v>255</v>
      </c>
      <c r="F9" s="0" t="n">
        <v>15162.84</v>
      </c>
      <c r="G9" s="0" t="n">
        <v>17</v>
      </c>
      <c r="H9" s="0" t="n">
        <v>891.93</v>
      </c>
      <c r="I9" s="0" t="n">
        <v>28.74</v>
      </c>
      <c r="J9" s="0" t="s">
        <v>111</v>
      </c>
      <c r="K9" s="0" t="s">
        <v>64</v>
      </c>
    </row>
    <row r="10" customFormat="false" ht="15" hidden="false" customHeight="false" outlineLevel="0" collapsed="false">
      <c r="A10" s="0" t="s">
        <v>34</v>
      </c>
      <c r="B10" s="0" t="s">
        <v>245</v>
      </c>
      <c r="C10" s="0" t="n">
        <v>17</v>
      </c>
      <c r="E10" s="0" t="s">
        <v>256</v>
      </c>
      <c r="F10" s="0" t="n">
        <v>5923.18</v>
      </c>
      <c r="G10" s="0" t="n">
        <v>5</v>
      </c>
      <c r="H10" s="0" t="n">
        <v>1184.64</v>
      </c>
      <c r="I10" s="0" t="n">
        <v>38.18</v>
      </c>
      <c r="J10" s="0" t="s">
        <v>111</v>
      </c>
      <c r="K10" s="0" t="s">
        <v>64</v>
      </c>
    </row>
    <row r="11" customFormat="false" ht="15" hidden="false" customHeight="false" outlineLevel="0" collapsed="false">
      <c r="A11" s="0" t="s">
        <v>34</v>
      </c>
      <c r="B11" s="0" t="s">
        <v>245</v>
      </c>
      <c r="C11" s="0" t="n">
        <v>24</v>
      </c>
      <c r="E11" s="0" t="s">
        <v>243</v>
      </c>
      <c r="F11" s="0" t="n">
        <v>6060.01</v>
      </c>
      <c r="G11" s="0" t="n">
        <v>2</v>
      </c>
      <c r="H11" s="0" t="n">
        <v>3030.01</v>
      </c>
      <c r="I11" s="0" t="n">
        <v>97.65</v>
      </c>
      <c r="J11" s="0" t="s">
        <v>111</v>
      </c>
      <c r="K11" s="0" t="s">
        <v>64</v>
      </c>
    </row>
    <row r="12" customFormat="false" ht="15" hidden="false" customHeight="false" outlineLevel="0" collapsed="false">
      <c r="A12" s="0" t="s">
        <v>34</v>
      </c>
      <c r="B12" s="0" t="s">
        <v>257</v>
      </c>
      <c r="C12" s="0" t="n">
        <v>10</v>
      </c>
      <c r="E12" s="0" t="s">
        <v>258</v>
      </c>
      <c r="F12" s="0" t="n">
        <v>3179.66</v>
      </c>
      <c r="G12" s="0" t="n">
        <v>10</v>
      </c>
      <c r="H12" s="0" t="n">
        <v>317.97</v>
      </c>
      <c r="I12" s="0" t="n">
        <v>10.25</v>
      </c>
      <c r="J12" s="0" t="s">
        <v>111</v>
      </c>
      <c r="K12" s="0" t="s">
        <v>64</v>
      </c>
    </row>
    <row r="13" customFormat="false" ht="15" hidden="false" customHeight="false" outlineLevel="0" collapsed="false">
      <c r="A13" s="0" t="s">
        <v>34</v>
      </c>
      <c r="B13" s="0" t="s">
        <v>257</v>
      </c>
      <c r="C13" s="0" t="n">
        <v>2</v>
      </c>
      <c r="E13" s="0" t="s">
        <v>259</v>
      </c>
      <c r="F13" s="0" t="n">
        <v>5026.8</v>
      </c>
      <c r="G13" s="0" t="n">
        <v>162</v>
      </c>
      <c r="H13" s="0" t="n">
        <v>31.03</v>
      </c>
      <c r="I13" s="0" t="s">
        <v>65</v>
      </c>
      <c r="J13" s="0" t="s">
        <v>105</v>
      </c>
      <c r="K13" s="0" t="s">
        <v>64</v>
      </c>
    </row>
    <row r="14" customFormat="false" ht="15" hidden="false" customHeight="false" outlineLevel="0" collapsed="false">
      <c r="A14" s="0" t="s">
        <v>34</v>
      </c>
      <c r="B14" s="0" t="s">
        <v>257</v>
      </c>
      <c r="C14" s="0" t="n">
        <v>11</v>
      </c>
      <c r="E14" s="0" t="s">
        <v>260</v>
      </c>
      <c r="F14" s="0" t="n">
        <v>20189.64</v>
      </c>
      <c r="G14" s="0" t="n">
        <v>179</v>
      </c>
      <c r="H14" s="0" t="s">
        <v>105</v>
      </c>
      <c r="I14" s="0" t="s">
        <v>65</v>
      </c>
      <c r="J14" s="0" t="s">
        <v>105</v>
      </c>
      <c r="K14" s="0" t="s">
        <v>64</v>
      </c>
    </row>
    <row r="15" customFormat="false" ht="15" hidden="false" customHeight="false" outlineLevel="0" collapsed="false">
      <c r="A15" s="0" t="s">
        <v>34</v>
      </c>
      <c r="B15" s="0" t="s">
        <v>257</v>
      </c>
      <c r="C15" s="0" t="n">
        <v>7</v>
      </c>
    </row>
    <row r="16" customFormat="false" ht="15" hidden="false" customHeight="false" outlineLevel="0" collapsed="false">
      <c r="A16" s="0" t="s">
        <v>34</v>
      </c>
      <c r="B16" s="0" t="s">
        <v>257</v>
      </c>
      <c r="C16" s="0" t="n">
        <v>3</v>
      </c>
      <c r="E16" s="0" t="s">
        <v>261</v>
      </c>
    </row>
    <row r="17" customFormat="false" ht="15" hidden="false" customHeight="false" outlineLevel="0" collapsed="false">
      <c r="A17" s="0" t="s">
        <v>34</v>
      </c>
      <c r="B17" s="0" t="s">
        <v>257</v>
      </c>
      <c r="C17" s="0" t="n">
        <v>4</v>
      </c>
      <c r="E17" s="0" t="s">
        <v>262</v>
      </c>
    </row>
    <row r="18" customFormat="false" ht="15" hidden="false" customHeight="false" outlineLevel="0" collapsed="false">
      <c r="A18" s="0" t="s">
        <v>34</v>
      </c>
      <c r="B18" s="0" t="s">
        <v>257</v>
      </c>
      <c r="C18" s="0" t="n">
        <v>12</v>
      </c>
      <c r="E18" s="0" t="s">
        <v>26</v>
      </c>
      <c r="F18" s="0" t="s">
        <v>56</v>
      </c>
      <c r="G18" s="0" t="s">
        <v>142</v>
      </c>
      <c r="H18" s="0" t="s">
        <v>82</v>
      </c>
      <c r="I18" s="0" t="s">
        <v>64</v>
      </c>
      <c r="J18" s="0" t="s">
        <v>64</v>
      </c>
      <c r="K18" s="0" t="s">
        <v>64</v>
      </c>
      <c r="L18" s="0" t="s">
        <v>64</v>
      </c>
    </row>
    <row r="19" customFormat="false" ht="15" hidden="false" customHeight="false" outlineLevel="0" collapsed="false">
      <c r="A19" s="0" t="s">
        <v>34</v>
      </c>
      <c r="B19" s="0" t="s">
        <v>257</v>
      </c>
      <c r="C19" s="0" t="n">
        <v>9</v>
      </c>
      <c r="E19" s="0" t="s">
        <v>198</v>
      </c>
      <c r="F19" s="0" t="n">
        <v>0.33</v>
      </c>
      <c r="G19" s="0" t="n">
        <v>30</v>
      </c>
      <c r="H19" s="0" t="n">
        <v>1.02</v>
      </c>
      <c r="I19" s="0" t="s">
        <v>92</v>
      </c>
      <c r="J19" s="0" t="s">
        <v>64</v>
      </c>
      <c r="K19" s="0" t="s">
        <v>64</v>
      </c>
      <c r="L19" s="0" t="s">
        <v>64</v>
      </c>
    </row>
    <row r="20" customFormat="false" ht="15" hidden="false" customHeight="false" outlineLevel="0" collapsed="false">
      <c r="A20" s="0" t="s">
        <v>34</v>
      </c>
      <c r="B20" s="0" t="s">
        <v>257</v>
      </c>
      <c r="C20" s="0" t="n">
        <v>5</v>
      </c>
      <c r="E20" s="0" t="s">
        <v>199</v>
      </c>
      <c r="F20" s="0" t="n">
        <v>1.53</v>
      </c>
      <c r="G20" s="0" t="n">
        <v>30</v>
      </c>
      <c r="H20" s="0" t="n">
        <v>1.02</v>
      </c>
      <c r="I20" s="0" t="s">
        <v>92</v>
      </c>
      <c r="J20" s="0" t="s">
        <v>64</v>
      </c>
      <c r="K20" s="0" t="s">
        <v>64</v>
      </c>
      <c r="L20" s="0" t="s">
        <v>64</v>
      </c>
    </row>
    <row r="21" customFormat="false" ht="15" hidden="false" customHeight="false" outlineLevel="0" collapsed="false">
      <c r="A21" s="0" t="s">
        <v>34</v>
      </c>
      <c r="B21" s="0" t="s">
        <v>257</v>
      </c>
      <c r="C21" s="0" t="n">
        <v>11</v>
      </c>
      <c r="E21" s="0" t="s">
        <v>203</v>
      </c>
      <c r="F21" s="0" t="n">
        <v>4.27</v>
      </c>
      <c r="G21" s="0" t="n">
        <v>30</v>
      </c>
      <c r="H21" s="0" t="n">
        <v>1.02</v>
      </c>
      <c r="I21" s="0" t="s">
        <v>92</v>
      </c>
      <c r="J21" s="0" t="s">
        <v>94</v>
      </c>
      <c r="K21" s="0" t="s">
        <v>64</v>
      </c>
      <c r="L21" s="0" t="s">
        <v>64</v>
      </c>
    </row>
    <row r="22" customFormat="false" ht="15" hidden="false" customHeight="false" outlineLevel="0" collapsed="false">
      <c r="A22" s="0" t="s">
        <v>34</v>
      </c>
      <c r="B22" s="0" t="s">
        <v>263</v>
      </c>
      <c r="C22" s="0" t="n">
        <v>11</v>
      </c>
      <c r="E22" s="0" t="s">
        <v>207</v>
      </c>
      <c r="F22" s="0" t="n">
        <v>7.63</v>
      </c>
      <c r="G22" s="0" t="n">
        <v>30</v>
      </c>
      <c r="H22" s="0" t="n">
        <v>1.02</v>
      </c>
      <c r="I22" s="0" t="s">
        <v>64</v>
      </c>
      <c r="J22" s="0" t="s">
        <v>94</v>
      </c>
      <c r="K22" s="0" t="s">
        <v>64</v>
      </c>
      <c r="L22" s="0" t="s">
        <v>64</v>
      </c>
    </row>
    <row r="23" customFormat="false" ht="15" hidden="false" customHeight="false" outlineLevel="0" collapsed="false">
      <c r="A23" s="0" t="s">
        <v>34</v>
      </c>
      <c r="B23" s="0" t="s">
        <v>263</v>
      </c>
      <c r="C23" s="0" t="n">
        <v>0</v>
      </c>
      <c r="E23" s="0" t="s">
        <v>211</v>
      </c>
      <c r="F23" s="0" t="n">
        <v>12</v>
      </c>
      <c r="G23" s="0" t="n">
        <v>30</v>
      </c>
      <c r="H23" s="0" t="n">
        <v>1.02</v>
      </c>
      <c r="I23" s="0" t="s">
        <v>64</v>
      </c>
      <c r="J23" s="0" t="s">
        <v>64</v>
      </c>
      <c r="K23" s="0" t="s">
        <v>119</v>
      </c>
      <c r="L23" s="0" t="s">
        <v>64</v>
      </c>
    </row>
    <row r="24" customFormat="false" ht="15" hidden="false" customHeight="false" outlineLevel="0" collapsed="false">
      <c r="A24" s="0" t="s">
        <v>34</v>
      </c>
      <c r="B24" s="0" t="s">
        <v>263</v>
      </c>
      <c r="C24" s="0" t="n">
        <v>4</v>
      </c>
      <c r="E24" s="0" t="s">
        <v>215</v>
      </c>
      <c r="F24" s="0" t="n">
        <v>16.5</v>
      </c>
      <c r="G24" s="0" t="n">
        <v>30</v>
      </c>
      <c r="H24" s="0" t="n">
        <v>1.02</v>
      </c>
      <c r="I24" s="0" t="s">
        <v>64</v>
      </c>
      <c r="J24" s="0" t="s">
        <v>64</v>
      </c>
      <c r="K24" s="0" t="s">
        <v>64</v>
      </c>
      <c r="L24" s="0" t="s">
        <v>120</v>
      </c>
    </row>
    <row r="25" customFormat="false" ht="15" hidden="false" customHeight="false" outlineLevel="0" collapsed="false">
      <c r="A25" s="0" t="s">
        <v>34</v>
      </c>
      <c r="B25" s="0" t="s">
        <v>263</v>
      </c>
      <c r="C25" s="0" t="n">
        <v>8</v>
      </c>
      <c r="E25" s="0" t="s">
        <v>102</v>
      </c>
    </row>
    <row r="26" customFormat="false" ht="15" hidden="false" customHeight="false" outlineLevel="0" collapsed="false">
      <c r="A26" s="0" t="s">
        <v>34</v>
      </c>
      <c r="B26" s="0" t="s">
        <v>263</v>
      </c>
      <c r="C26" s="0" t="n">
        <v>15</v>
      </c>
    </row>
    <row r="27" customFormat="false" ht="15" hidden="false" customHeight="false" outlineLevel="0" collapsed="false">
      <c r="A27" s="0" t="s">
        <v>34</v>
      </c>
      <c r="B27" s="0" t="s">
        <v>263</v>
      </c>
      <c r="C27" s="0" t="n">
        <v>12</v>
      </c>
    </row>
    <row r="28" customFormat="false" ht="15" hidden="false" customHeight="false" outlineLevel="0" collapsed="false">
      <c r="A28" s="0" t="s">
        <v>34</v>
      </c>
      <c r="B28" s="0" t="s">
        <v>263</v>
      </c>
      <c r="C28" s="0" t="n">
        <v>18</v>
      </c>
      <c r="E28" s="0" t="s">
        <v>264</v>
      </c>
    </row>
    <row r="29" customFormat="false" ht="15" hidden="false" customHeight="false" outlineLevel="0" collapsed="false">
      <c r="A29" s="0" t="s">
        <v>34</v>
      </c>
      <c r="B29" s="0" t="s">
        <v>263</v>
      </c>
      <c r="C29" s="0" t="n">
        <v>8</v>
      </c>
      <c r="E29" s="0" t="s">
        <v>262</v>
      </c>
    </row>
    <row r="30" customFormat="false" ht="15" hidden="false" customHeight="false" outlineLevel="0" collapsed="false">
      <c r="A30" s="0" t="s">
        <v>34</v>
      </c>
      <c r="B30" s="0" t="s">
        <v>263</v>
      </c>
      <c r="C30" s="0" t="n">
        <v>3</v>
      </c>
      <c r="E30" s="0" t="s">
        <v>243</v>
      </c>
      <c r="F30" s="0" t="s">
        <v>56</v>
      </c>
      <c r="G30" s="0" t="s">
        <v>142</v>
      </c>
      <c r="H30" s="0" t="s">
        <v>82</v>
      </c>
      <c r="I30" s="0" t="s">
        <v>64</v>
      </c>
      <c r="J30" s="0" t="s">
        <v>64</v>
      </c>
    </row>
    <row r="31" customFormat="false" ht="15" hidden="false" customHeight="false" outlineLevel="0" collapsed="false">
      <c r="A31" s="0" t="s">
        <v>34</v>
      </c>
      <c r="B31" s="0" t="s">
        <v>263</v>
      </c>
      <c r="C31" s="0" t="n">
        <v>4</v>
      </c>
      <c r="E31" s="0" t="s">
        <v>263</v>
      </c>
      <c r="F31" s="0" t="n">
        <v>2.9</v>
      </c>
      <c r="G31" s="0" t="n">
        <v>60</v>
      </c>
      <c r="H31" s="0" t="n">
        <v>0.72</v>
      </c>
      <c r="I31" s="0" t="s">
        <v>92</v>
      </c>
      <c r="J31" s="0" t="s">
        <v>64</v>
      </c>
    </row>
    <row r="32" customFormat="false" ht="15" hidden="false" customHeight="false" outlineLevel="0" collapsed="false">
      <c r="A32" s="0" t="s">
        <v>34</v>
      </c>
      <c r="B32" s="0" t="s">
        <v>265</v>
      </c>
      <c r="C32" s="0" t="n">
        <v>56</v>
      </c>
      <c r="E32" s="0" t="s">
        <v>257</v>
      </c>
      <c r="F32" s="0" t="n">
        <v>2.98</v>
      </c>
      <c r="G32" s="0" t="n">
        <v>60</v>
      </c>
      <c r="H32" s="0" t="n">
        <v>0.72</v>
      </c>
      <c r="I32" s="0" t="s">
        <v>92</v>
      </c>
      <c r="J32" s="0" t="s">
        <v>64</v>
      </c>
    </row>
    <row r="33" customFormat="false" ht="15" hidden="false" customHeight="false" outlineLevel="0" collapsed="false">
      <c r="A33" s="0" t="s">
        <v>34</v>
      </c>
      <c r="B33" s="0" t="s">
        <v>265</v>
      </c>
      <c r="C33" s="0" t="n">
        <v>55</v>
      </c>
      <c r="E33" s="0" t="s">
        <v>245</v>
      </c>
      <c r="F33" s="0" t="n">
        <v>15.25</v>
      </c>
      <c r="G33" s="0" t="n">
        <v>60</v>
      </c>
      <c r="H33" s="0" t="n">
        <v>0.72</v>
      </c>
      <c r="I33" s="0" t="s">
        <v>64</v>
      </c>
      <c r="J33" s="0" t="s">
        <v>94</v>
      </c>
    </row>
    <row r="34" customFormat="false" ht="15" hidden="false" customHeight="false" outlineLevel="0" collapsed="false">
      <c r="A34" s="0" t="s">
        <v>34</v>
      </c>
      <c r="B34" s="0" t="s">
        <v>265</v>
      </c>
      <c r="C34" s="0" t="n">
        <v>47</v>
      </c>
      <c r="E34" s="0" t="s">
        <v>102</v>
      </c>
    </row>
    <row r="35" customFormat="false" ht="15" hidden="false" customHeight="false" outlineLevel="0" collapsed="false">
      <c r="A35" s="0" t="s">
        <v>34</v>
      </c>
      <c r="B35" s="0" t="s">
        <v>265</v>
      </c>
      <c r="C35" s="0" t="n">
        <v>42</v>
      </c>
    </row>
    <row r="36" customFormat="false" ht="15" hidden="false" customHeight="false" outlineLevel="0" collapsed="false">
      <c r="A36" s="0" t="s">
        <v>34</v>
      </c>
      <c r="B36" s="0" t="s">
        <v>265</v>
      </c>
      <c r="C36" s="0" t="n">
        <v>79</v>
      </c>
    </row>
    <row r="37" customFormat="false" ht="15" hidden="false" customHeight="false" outlineLevel="0" collapsed="false">
      <c r="A37" s="0" t="s">
        <v>34</v>
      </c>
      <c r="B37" s="0" t="s">
        <v>265</v>
      </c>
      <c r="C37" s="0" t="n">
        <v>36</v>
      </c>
      <c r="E37" s="0" t="s">
        <v>266</v>
      </c>
    </row>
    <row r="38" customFormat="false" ht="15" hidden="false" customHeight="false" outlineLevel="0" collapsed="false">
      <c r="A38" s="0" t="s">
        <v>34</v>
      </c>
      <c r="B38" s="0" t="s">
        <v>265</v>
      </c>
      <c r="C38" s="0" t="n">
        <v>60</v>
      </c>
      <c r="E38" s="0" t="s">
        <v>262</v>
      </c>
      <c r="S38" s="3" t="s">
        <v>267</v>
      </c>
      <c r="T38" s="3"/>
      <c r="U38" s="3"/>
    </row>
    <row r="39" customFormat="false" ht="15" hidden="false" customHeight="false" outlineLevel="0" collapsed="false">
      <c r="A39" s="0" t="s">
        <v>34</v>
      </c>
      <c r="B39" s="0" t="s">
        <v>265</v>
      </c>
      <c r="C39" s="0" t="n">
        <v>58</v>
      </c>
      <c r="E39" s="0" t="s">
        <v>26</v>
      </c>
      <c r="F39" s="0" t="s">
        <v>243</v>
      </c>
      <c r="G39" s="0" t="s">
        <v>56</v>
      </c>
      <c r="H39" s="0" t="s">
        <v>142</v>
      </c>
      <c r="I39" s="0" t="s">
        <v>82</v>
      </c>
      <c r="J39" s="0" t="s">
        <v>64</v>
      </c>
      <c r="K39" s="0" t="s">
        <v>64</v>
      </c>
      <c r="L39" s="0" t="s">
        <v>64</v>
      </c>
      <c r="M39" s="0" t="s">
        <v>64</v>
      </c>
      <c r="N39" s="0" t="s">
        <v>64</v>
      </c>
      <c r="O39" s="0" t="s">
        <v>64</v>
      </c>
      <c r="S39" s="0" t="s">
        <v>223</v>
      </c>
      <c r="T39" s="0" t="s">
        <v>268</v>
      </c>
      <c r="U39" s="0" t="s">
        <v>225</v>
      </c>
    </row>
    <row r="40" customFormat="false" ht="15" hidden="false" customHeight="false" outlineLevel="0" collapsed="false">
      <c r="A40" s="0" t="s">
        <v>34</v>
      </c>
      <c r="B40" s="0" t="s">
        <v>265</v>
      </c>
      <c r="C40" s="0" t="n">
        <v>25</v>
      </c>
      <c r="E40" s="65" t="s">
        <v>199</v>
      </c>
      <c r="F40" s="65" t="s">
        <v>263</v>
      </c>
      <c r="G40" s="65" t="n">
        <v>-0.5</v>
      </c>
      <c r="H40" s="0" t="n">
        <v>10</v>
      </c>
      <c r="I40" s="0" t="n">
        <v>1.76</v>
      </c>
      <c r="J40" s="0" t="s">
        <v>92</v>
      </c>
      <c r="K40" s="0" t="s">
        <v>64</v>
      </c>
      <c r="L40" s="0" t="s">
        <v>64</v>
      </c>
      <c r="M40" s="0" t="s">
        <v>64</v>
      </c>
      <c r="N40" s="0" t="s">
        <v>64</v>
      </c>
      <c r="O40" s="0" t="s">
        <v>64</v>
      </c>
      <c r="Q40" s="0" t="s">
        <v>26</v>
      </c>
      <c r="R40" s="0" t="s">
        <v>56</v>
      </c>
      <c r="S40" s="63" t="s">
        <v>269</v>
      </c>
      <c r="T40" s="63" t="s">
        <v>270</v>
      </c>
      <c r="U40" s="63" t="s">
        <v>271</v>
      </c>
    </row>
    <row r="41" customFormat="false" ht="15" hidden="false" customHeight="false" outlineLevel="0" collapsed="false">
      <c r="A41" s="0" t="s">
        <v>34</v>
      </c>
      <c r="B41" s="0" t="s">
        <v>265</v>
      </c>
      <c r="C41" s="0" t="n">
        <v>39</v>
      </c>
      <c r="E41" s="65" t="s">
        <v>198</v>
      </c>
      <c r="F41" s="65" t="s">
        <v>245</v>
      </c>
      <c r="G41" s="65" t="n">
        <v>-0.3</v>
      </c>
      <c r="H41" s="0" t="n">
        <v>10</v>
      </c>
      <c r="I41" s="0" t="n">
        <v>1.76</v>
      </c>
      <c r="J41" s="0" t="s">
        <v>92</v>
      </c>
      <c r="K41" s="0" t="s">
        <v>94</v>
      </c>
      <c r="L41" s="0" t="s">
        <v>64</v>
      </c>
      <c r="M41" s="0" t="s">
        <v>64</v>
      </c>
      <c r="N41" s="0" t="s">
        <v>64</v>
      </c>
      <c r="O41" s="0" t="s">
        <v>64</v>
      </c>
      <c r="Q41" s="0" t="s">
        <v>23</v>
      </c>
      <c r="R41" s="0" t="s">
        <v>272</v>
      </c>
      <c r="S41" s="63" t="s">
        <v>273</v>
      </c>
      <c r="T41" s="63" t="s">
        <v>274</v>
      </c>
      <c r="U41" s="63" t="s">
        <v>275</v>
      </c>
    </row>
    <row r="42" customFormat="false" ht="15" hidden="false" customHeight="false" outlineLevel="0" collapsed="false">
      <c r="A42" s="0" t="s">
        <v>35</v>
      </c>
      <c r="B42" s="0" t="s">
        <v>245</v>
      </c>
      <c r="C42" s="0" t="n">
        <v>29</v>
      </c>
      <c r="E42" s="65" t="s">
        <v>203</v>
      </c>
      <c r="F42" s="65" t="s">
        <v>257</v>
      </c>
      <c r="G42" s="65" t="n">
        <v>-0.2</v>
      </c>
      <c r="H42" s="0" t="n">
        <v>10</v>
      </c>
      <c r="I42" s="0" t="n">
        <v>1.76</v>
      </c>
      <c r="J42" s="0" t="s">
        <v>92</v>
      </c>
      <c r="K42" s="0" t="s">
        <v>94</v>
      </c>
      <c r="L42" s="0" t="s">
        <v>64</v>
      </c>
      <c r="M42" s="0" t="s">
        <v>64</v>
      </c>
      <c r="N42" s="0" t="s">
        <v>64</v>
      </c>
      <c r="O42" s="0" t="s">
        <v>64</v>
      </c>
      <c r="Q42" s="0" t="s">
        <v>22</v>
      </c>
      <c r="R42" s="63" t="s">
        <v>276</v>
      </c>
      <c r="S42" s="63" t="s">
        <v>277</v>
      </c>
      <c r="T42" s="63" t="s">
        <v>278</v>
      </c>
      <c r="U42" s="63" t="s">
        <v>279</v>
      </c>
    </row>
    <row r="43" customFormat="false" ht="15" hidden="false" customHeight="false" outlineLevel="0" collapsed="false">
      <c r="A43" s="0" t="s">
        <v>35</v>
      </c>
      <c r="B43" s="0" t="s">
        <v>245</v>
      </c>
      <c r="C43" s="0" t="n">
        <v>15</v>
      </c>
      <c r="E43" s="65" t="s">
        <v>203</v>
      </c>
      <c r="F43" s="65" t="s">
        <v>263</v>
      </c>
      <c r="G43" s="65" t="n">
        <v>0.5</v>
      </c>
      <c r="H43" s="0" t="n">
        <v>10</v>
      </c>
      <c r="I43" s="0" t="n">
        <v>1.76</v>
      </c>
      <c r="J43" s="0" t="s">
        <v>92</v>
      </c>
      <c r="K43" s="0" t="s">
        <v>94</v>
      </c>
      <c r="L43" s="0" t="s">
        <v>64</v>
      </c>
      <c r="M43" s="0" t="s">
        <v>64</v>
      </c>
      <c r="N43" s="0" t="s">
        <v>64</v>
      </c>
      <c r="O43" s="0" t="s">
        <v>64</v>
      </c>
      <c r="Q43" s="0" t="s">
        <v>21</v>
      </c>
      <c r="R43" s="0" t="s">
        <v>280</v>
      </c>
      <c r="S43" s="63" t="s">
        <v>281</v>
      </c>
      <c r="T43" s="63" t="s">
        <v>282</v>
      </c>
      <c r="U43" s="63" t="s">
        <v>283</v>
      </c>
    </row>
    <row r="44" customFormat="false" ht="15" hidden="false" customHeight="false" outlineLevel="0" collapsed="false">
      <c r="A44" s="0" t="s">
        <v>35</v>
      </c>
      <c r="B44" s="0" t="s">
        <v>245</v>
      </c>
      <c r="C44" s="0" t="n">
        <v>28</v>
      </c>
      <c r="E44" s="65" t="s">
        <v>198</v>
      </c>
      <c r="F44" s="65" t="s">
        <v>263</v>
      </c>
      <c r="G44" s="65" t="n">
        <v>0.5</v>
      </c>
      <c r="H44" s="0" t="n">
        <v>10</v>
      </c>
      <c r="I44" s="0" t="n">
        <v>1.76</v>
      </c>
      <c r="J44" s="0" t="s">
        <v>92</v>
      </c>
      <c r="K44" s="0" t="s">
        <v>94</v>
      </c>
      <c r="L44" s="0" t="s">
        <v>64</v>
      </c>
      <c r="M44" s="0" t="s">
        <v>64</v>
      </c>
      <c r="N44" s="0" t="s">
        <v>64</v>
      </c>
      <c r="O44" s="0" t="s">
        <v>64</v>
      </c>
      <c r="Q44" s="0" t="s">
        <v>20</v>
      </c>
      <c r="R44" s="0" t="s">
        <v>284</v>
      </c>
      <c r="S44" s="63" t="s">
        <v>285</v>
      </c>
      <c r="T44" s="63" t="s">
        <v>286</v>
      </c>
      <c r="U44" s="63" t="s">
        <v>283</v>
      </c>
    </row>
    <row r="45" customFormat="false" ht="15" hidden="false" customHeight="false" outlineLevel="0" collapsed="false">
      <c r="A45" s="0" t="s">
        <v>35</v>
      </c>
      <c r="B45" s="0" t="s">
        <v>245</v>
      </c>
      <c r="C45" s="0" t="n">
        <v>28</v>
      </c>
      <c r="E45" s="65" t="s">
        <v>199</v>
      </c>
      <c r="F45" s="65" t="s">
        <v>257</v>
      </c>
      <c r="G45" s="65" t="n">
        <v>0.7</v>
      </c>
      <c r="H45" s="0" t="n">
        <v>10</v>
      </c>
      <c r="I45" s="0" t="n">
        <v>1.76</v>
      </c>
      <c r="J45" s="0" t="s">
        <v>92</v>
      </c>
      <c r="K45" s="0" t="s">
        <v>94</v>
      </c>
      <c r="L45" s="0" t="s">
        <v>64</v>
      </c>
      <c r="M45" s="0" t="s">
        <v>64</v>
      </c>
      <c r="N45" s="0" t="s">
        <v>64</v>
      </c>
      <c r="O45" s="0" t="s">
        <v>64</v>
      </c>
      <c r="Q45" s="0" t="s">
        <v>19</v>
      </c>
      <c r="R45" s="0" t="s">
        <v>287</v>
      </c>
      <c r="S45" s="63" t="s">
        <v>288</v>
      </c>
      <c r="T45" s="63" t="s">
        <v>289</v>
      </c>
      <c r="U45" s="63" t="s">
        <v>290</v>
      </c>
    </row>
    <row r="46" customFormat="false" ht="15" hidden="false" customHeight="false" outlineLevel="0" collapsed="false">
      <c r="A46" s="0" t="s">
        <v>35</v>
      </c>
      <c r="B46" s="0" t="s">
        <v>245</v>
      </c>
      <c r="C46" s="0" t="n">
        <v>26</v>
      </c>
      <c r="E46" s="65" t="s">
        <v>198</v>
      </c>
      <c r="F46" s="65" t="s">
        <v>257</v>
      </c>
      <c r="G46" s="65" t="n">
        <v>0.8</v>
      </c>
      <c r="H46" s="0" t="n">
        <v>10</v>
      </c>
      <c r="I46" s="0" t="n">
        <v>1.76</v>
      </c>
      <c r="J46" s="0" t="s">
        <v>92</v>
      </c>
      <c r="K46" s="0" t="s">
        <v>94</v>
      </c>
      <c r="L46" s="0" t="s">
        <v>64</v>
      </c>
      <c r="M46" s="0" t="s">
        <v>64</v>
      </c>
      <c r="N46" s="0" t="s">
        <v>64</v>
      </c>
      <c r="O46" s="0" t="s">
        <v>64</v>
      </c>
      <c r="Q46" s="0" t="s">
        <v>12</v>
      </c>
      <c r="R46" s="0" t="s">
        <v>291</v>
      </c>
      <c r="S46" s="63" t="s">
        <v>292</v>
      </c>
      <c r="T46" s="63" t="s">
        <v>293</v>
      </c>
      <c r="U46" s="63" t="s">
        <v>294</v>
      </c>
    </row>
    <row r="47" customFormat="false" ht="15" hidden="false" customHeight="false" outlineLevel="0" collapsed="false">
      <c r="A47" s="0" t="s">
        <v>35</v>
      </c>
      <c r="B47" s="0" t="s">
        <v>245</v>
      </c>
      <c r="C47" s="0" t="n">
        <v>11</v>
      </c>
      <c r="E47" s="0" t="s">
        <v>207</v>
      </c>
      <c r="F47" s="0" t="s">
        <v>257</v>
      </c>
      <c r="G47" s="0" t="n">
        <v>3.1</v>
      </c>
      <c r="H47" s="0" t="n">
        <v>10</v>
      </c>
      <c r="I47" s="0" t="n">
        <v>1.76</v>
      </c>
      <c r="J47" s="0" t="s">
        <v>92</v>
      </c>
      <c r="K47" s="0" t="s">
        <v>94</v>
      </c>
      <c r="L47" s="0" t="s">
        <v>64</v>
      </c>
      <c r="M47" s="0" t="s">
        <v>64</v>
      </c>
      <c r="N47" s="0" t="s">
        <v>64</v>
      </c>
      <c r="O47" s="0" t="s">
        <v>64</v>
      </c>
    </row>
    <row r="48" customFormat="false" ht="15" hidden="false" customHeight="false" outlineLevel="0" collapsed="false">
      <c r="A48" s="0" t="s">
        <v>35</v>
      </c>
      <c r="B48" s="0" t="s">
        <v>245</v>
      </c>
      <c r="C48" s="0" t="n">
        <v>27</v>
      </c>
      <c r="E48" s="0" t="s">
        <v>207</v>
      </c>
      <c r="F48" s="0" t="s">
        <v>263</v>
      </c>
      <c r="G48" s="0" t="n">
        <v>3.5</v>
      </c>
      <c r="H48" s="0" t="n">
        <v>10</v>
      </c>
      <c r="I48" s="0" t="n">
        <v>1.76</v>
      </c>
      <c r="J48" s="0" t="s">
        <v>92</v>
      </c>
      <c r="K48" s="0" t="s">
        <v>94</v>
      </c>
      <c r="L48" s="0" t="s">
        <v>64</v>
      </c>
      <c r="M48" s="0" t="s">
        <v>64</v>
      </c>
      <c r="N48" s="0" t="s">
        <v>64</v>
      </c>
      <c r="O48" s="0" t="s">
        <v>64</v>
      </c>
    </row>
    <row r="49" customFormat="false" ht="15" hidden="false" customHeight="false" outlineLevel="0" collapsed="false">
      <c r="A49" s="0" t="s">
        <v>35</v>
      </c>
      <c r="B49" s="0" t="s">
        <v>245</v>
      </c>
      <c r="C49" s="0" t="n">
        <v>18</v>
      </c>
      <c r="E49" s="65" t="s">
        <v>199</v>
      </c>
      <c r="F49" s="65" t="s">
        <v>245</v>
      </c>
      <c r="G49" s="0" t="n">
        <v>4.4</v>
      </c>
      <c r="H49" s="0" t="n">
        <v>10</v>
      </c>
      <c r="I49" s="0" t="n">
        <v>1.76</v>
      </c>
      <c r="J49" s="0" t="s">
        <v>92</v>
      </c>
      <c r="K49" s="0" t="s">
        <v>94</v>
      </c>
      <c r="L49" s="0" t="s">
        <v>119</v>
      </c>
      <c r="M49" s="0" t="s">
        <v>64</v>
      </c>
      <c r="N49" s="0" t="s">
        <v>64</v>
      </c>
      <c r="O49" s="0" t="s">
        <v>64</v>
      </c>
    </row>
    <row r="50" customFormat="false" ht="15" hidden="false" customHeight="false" outlineLevel="0" collapsed="false">
      <c r="A50" s="0" t="s">
        <v>35</v>
      </c>
      <c r="B50" s="0" t="s">
        <v>245</v>
      </c>
      <c r="C50" s="0" t="n">
        <v>37</v>
      </c>
      <c r="E50" s="65" t="s">
        <v>211</v>
      </c>
      <c r="F50" s="65" t="s">
        <v>263</v>
      </c>
      <c r="G50" s="65" t="n">
        <v>5.1</v>
      </c>
      <c r="H50" s="0" t="n">
        <v>10</v>
      </c>
      <c r="I50" s="0" t="n">
        <v>1.76</v>
      </c>
      <c r="J50" s="0" t="s">
        <v>92</v>
      </c>
      <c r="K50" s="0" t="s">
        <v>94</v>
      </c>
      <c r="L50" s="0" t="s">
        <v>119</v>
      </c>
      <c r="M50" s="0" t="s">
        <v>64</v>
      </c>
      <c r="N50" s="0" t="s">
        <v>64</v>
      </c>
      <c r="O50" s="0" t="s">
        <v>64</v>
      </c>
    </row>
    <row r="51" customFormat="false" ht="15" hidden="false" customHeight="false" outlineLevel="0" collapsed="false">
      <c r="A51" s="0" t="s">
        <v>35</v>
      </c>
      <c r="B51" s="0" t="s">
        <v>245</v>
      </c>
      <c r="C51" s="0" t="n">
        <v>29</v>
      </c>
      <c r="E51" s="65" t="s">
        <v>211</v>
      </c>
      <c r="F51" s="65" t="s">
        <v>257</v>
      </c>
      <c r="G51" s="0" t="n">
        <v>6.1</v>
      </c>
      <c r="H51" s="0" t="n">
        <v>10</v>
      </c>
      <c r="I51" s="0" t="n">
        <v>1.76</v>
      </c>
      <c r="J51" s="0" t="s">
        <v>92</v>
      </c>
      <c r="K51" s="0" t="s">
        <v>94</v>
      </c>
      <c r="L51" s="0" t="s">
        <v>119</v>
      </c>
      <c r="M51" s="0" t="s">
        <v>64</v>
      </c>
      <c r="N51" s="0" t="s">
        <v>64</v>
      </c>
      <c r="O51" s="0" t="s">
        <v>64</v>
      </c>
    </row>
    <row r="52" customFormat="false" ht="15" hidden="false" customHeight="false" outlineLevel="0" collapsed="false">
      <c r="A52" s="0" t="s">
        <v>35</v>
      </c>
      <c r="B52" s="0" t="s">
        <v>257</v>
      </c>
      <c r="C52" s="0" t="n">
        <v>4</v>
      </c>
      <c r="E52" s="65" t="s">
        <v>215</v>
      </c>
      <c r="F52" s="65" t="s">
        <v>257</v>
      </c>
      <c r="G52" s="65" t="n">
        <v>7.4</v>
      </c>
      <c r="H52" s="0" t="n">
        <v>10</v>
      </c>
      <c r="I52" s="0" t="n">
        <v>1.76</v>
      </c>
      <c r="J52" s="0" t="s">
        <v>92</v>
      </c>
      <c r="K52" s="0" t="s">
        <v>94</v>
      </c>
      <c r="L52" s="0" t="s">
        <v>119</v>
      </c>
      <c r="M52" s="0" t="s">
        <v>64</v>
      </c>
      <c r="N52" s="0" t="s">
        <v>64</v>
      </c>
      <c r="O52" s="0" t="s">
        <v>64</v>
      </c>
    </row>
    <row r="53" customFormat="false" ht="15" hidden="false" customHeight="false" outlineLevel="0" collapsed="false">
      <c r="A53" s="0" t="s">
        <v>35</v>
      </c>
      <c r="B53" s="0" t="s">
        <v>257</v>
      </c>
      <c r="C53" s="0" t="n">
        <v>6</v>
      </c>
      <c r="E53" s="65" t="s">
        <v>215</v>
      </c>
      <c r="F53" s="65" t="s">
        <v>263</v>
      </c>
      <c r="G53" s="65" t="n">
        <v>8.3</v>
      </c>
      <c r="H53" s="0" t="n">
        <v>10</v>
      </c>
      <c r="I53" s="0" t="n">
        <v>1.76</v>
      </c>
      <c r="J53" s="0" t="s">
        <v>64</v>
      </c>
      <c r="K53" s="0" t="s">
        <v>94</v>
      </c>
      <c r="L53" s="0" t="s">
        <v>119</v>
      </c>
      <c r="M53" s="0" t="s">
        <v>120</v>
      </c>
      <c r="N53" s="0" t="s">
        <v>64</v>
      </c>
      <c r="O53" s="0" t="s">
        <v>64</v>
      </c>
    </row>
    <row r="54" customFormat="false" ht="15" hidden="false" customHeight="false" outlineLevel="0" collapsed="false">
      <c r="A54" s="0" t="s">
        <v>35</v>
      </c>
      <c r="B54" s="0" t="s">
        <v>257</v>
      </c>
      <c r="C54" s="0" t="n">
        <v>7</v>
      </c>
      <c r="E54" s="65" t="s">
        <v>203</v>
      </c>
      <c r="F54" s="65" t="s">
        <v>245</v>
      </c>
      <c r="G54" s="65" t="n">
        <v>12.5</v>
      </c>
      <c r="H54" s="0" t="n">
        <v>10</v>
      </c>
      <c r="I54" s="0" t="n">
        <v>1.76</v>
      </c>
      <c r="J54" s="0" t="s">
        <v>64</v>
      </c>
      <c r="K54" s="0" t="s">
        <v>64</v>
      </c>
      <c r="L54" s="0" t="s">
        <v>119</v>
      </c>
      <c r="M54" s="0" t="s">
        <v>120</v>
      </c>
      <c r="N54" s="0" t="s">
        <v>64</v>
      </c>
      <c r="O54" s="0" t="s">
        <v>64</v>
      </c>
    </row>
    <row r="55" customFormat="false" ht="15" hidden="false" customHeight="false" outlineLevel="0" collapsed="false">
      <c r="A55" s="0" t="s">
        <v>35</v>
      </c>
      <c r="B55" s="0" t="s">
        <v>257</v>
      </c>
      <c r="C55" s="0" t="n">
        <v>2</v>
      </c>
      <c r="E55" s="0" t="s">
        <v>207</v>
      </c>
      <c r="F55" s="0" t="s">
        <v>245</v>
      </c>
      <c r="G55" s="0" t="n">
        <v>16.3</v>
      </c>
      <c r="H55" s="0" t="n">
        <v>10</v>
      </c>
      <c r="I55" s="0" t="n">
        <v>1.76</v>
      </c>
      <c r="J55" s="0" t="s">
        <v>64</v>
      </c>
      <c r="K55" s="0" t="s">
        <v>64</v>
      </c>
      <c r="L55" s="0" t="s">
        <v>64</v>
      </c>
      <c r="M55" s="0" t="s">
        <v>120</v>
      </c>
      <c r="N55" s="0" t="s">
        <v>236</v>
      </c>
      <c r="O55" s="0" t="s">
        <v>64</v>
      </c>
    </row>
    <row r="56" customFormat="false" ht="15" hidden="false" customHeight="false" outlineLevel="0" collapsed="false">
      <c r="A56" s="0" t="s">
        <v>35</v>
      </c>
      <c r="B56" s="0" t="s">
        <v>257</v>
      </c>
      <c r="C56" s="0" t="n">
        <v>4</v>
      </c>
      <c r="E56" s="65" t="s">
        <v>211</v>
      </c>
      <c r="F56" s="65" t="s">
        <v>245</v>
      </c>
      <c r="G56" s="65" t="n">
        <v>24.8</v>
      </c>
      <c r="H56" s="0" t="n">
        <v>10</v>
      </c>
      <c r="I56" s="0" t="n">
        <v>1.76</v>
      </c>
      <c r="J56" s="0" t="s">
        <v>64</v>
      </c>
      <c r="K56" s="0" t="s">
        <v>64</v>
      </c>
      <c r="L56" s="0" t="s">
        <v>64</v>
      </c>
      <c r="M56" s="0" t="s">
        <v>64</v>
      </c>
      <c r="N56" s="0" t="s">
        <v>236</v>
      </c>
      <c r="O56" s="0" t="s">
        <v>64</v>
      </c>
    </row>
    <row r="57" customFormat="false" ht="15" hidden="false" customHeight="false" outlineLevel="0" collapsed="false">
      <c r="A57" s="0" t="s">
        <v>35</v>
      </c>
      <c r="B57" s="0" t="s">
        <v>257</v>
      </c>
      <c r="C57" s="0" t="n">
        <v>19</v>
      </c>
      <c r="E57" s="65" t="s">
        <v>215</v>
      </c>
      <c r="F57" s="65" t="s">
        <v>245</v>
      </c>
      <c r="G57" s="65" t="n">
        <v>33.8</v>
      </c>
      <c r="H57" s="0" t="n">
        <v>10</v>
      </c>
      <c r="I57" s="0" t="n">
        <v>1.76</v>
      </c>
      <c r="J57" s="0" t="s">
        <v>64</v>
      </c>
      <c r="K57" s="0" t="s">
        <v>64</v>
      </c>
      <c r="L57" s="0" t="s">
        <v>64</v>
      </c>
      <c r="M57" s="0" t="s">
        <v>64</v>
      </c>
      <c r="N57" s="0" t="s">
        <v>64</v>
      </c>
      <c r="O57" s="0" t="s">
        <v>295</v>
      </c>
    </row>
    <row r="58" customFormat="false" ht="15" hidden="false" customHeight="false" outlineLevel="0" collapsed="false">
      <c r="A58" s="0" t="s">
        <v>35</v>
      </c>
      <c r="B58" s="0" t="s">
        <v>257</v>
      </c>
      <c r="C58" s="0" t="n">
        <v>7</v>
      </c>
      <c r="E58" s="0" t="s">
        <v>102</v>
      </c>
    </row>
    <row r="59" customFormat="false" ht="15" hidden="false" customHeight="false" outlineLevel="0" collapsed="false">
      <c r="A59" s="0" t="s">
        <v>35</v>
      </c>
      <c r="B59" s="0" t="s">
        <v>257</v>
      </c>
      <c r="C59" s="0" t="n">
        <v>-1</v>
      </c>
    </row>
    <row r="60" customFormat="false" ht="15" hidden="false" customHeight="false" outlineLevel="0" collapsed="false">
      <c r="A60" s="0" t="s">
        <v>35</v>
      </c>
      <c r="B60" s="0" t="s">
        <v>257</v>
      </c>
      <c r="C60" s="0" t="n">
        <v>10</v>
      </c>
    </row>
    <row r="61" customFormat="false" ht="15" hidden="false" customHeight="false" outlineLevel="0" collapsed="false">
      <c r="A61" s="0" t="s">
        <v>35</v>
      </c>
      <c r="B61" s="0" t="s">
        <v>257</v>
      </c>
      <c r="C61" s="0" t="n">
        <v>3</v>
      </c>
    </row>
    <row r="62" customFormat="false" ht="15" hidden="false" customHeight="false" outlineLevel="0" collapsed="false">
      <c r="A62" s="0" t="s">
        <v>35</v>
      </c>
      <c r="B62" s="0" t="s">
        <v>263</v>
      </c>
      <c r="C62" s="0" t="n">
        <v>0</v>
      </c>
    </row>
    <row r="63" customFormat="false" ht="15" hidden="false" customHeight="false" outlineLevel="0" collapsed="false">
      <c r="A63" s="0" t="s">
        <v>35</v>
      </c>
      <c r="B63" s="0" t="s">
        <v>263</v>
      </c>
      <c r="C63" s="0" t="n">
        <v>2</v>
      </c>
    </row>
    <row r="64" customFormat="false" ht="15" hidden="false" customHeight="false" outlineLevel="0" collapsed="false">
      <c r="A64" s="0" t="s">
        <v>35</v>
      </c>
      <c r="B64" s="0" t="s">
        <v>263</v>
      </c>
      <c r="C64" s="0" t="n">
        <v>9</v>
      </c>
    </row>
    <row r="65" customFormat="false" ht="15" hidden="false" customHeight="false" outlineLevel="0" collapsed="false">
      <c r="A65" s="0" t="s">
        <v>35</v>
      </c>
      <c r="B65" s="0" t="s">
        <v>263</v>
      </c>
      <c r="C65" s="0" t="n">
        <v>1</v>
      </c>
    </row>
    <row r="66" customFormat="false" ht="15" hidden="false" customHeight="false" outlineLevel="0" collapsed="false">
      <c r="A66" s="0" t="s">
        <v>35</v>
      </c>
      <c r="B66" s="0" t="s">
        <v>263</v>
      </c>
      <c r="C66" s="0" t="n">
        <v>2</v>
      </c>
    </row>
    <row r="67" customFormat="false" ht="15" hidden="false" customHeight="false" outlineLevel="0" collapsed="false">
      <c r="A67" s="0" t="s">
        <v>35</v>
      </c>
      <c r="B67" s="0" t="s">
        <v>263</v>
      </c>
      <c r="C67" s="0" t="n">
        <v>9</v>
      </c>
    </row>
    <row r="68" customFormat="false" ht="15" hidden="false" customHeight="false" outlineLevel="0" collapsed="false">
      <c r="A68" s="0" t="s">
        <v>35</v>
      </c>
      <c r="B68" s="0" t="s">
        <v>263</v>
      </c>
      <c r="C68" s="0" t="n">
        <v>6</v>
      </c>
    </row>
    <row r="69" customFormat="false" ht="15" hidden="false" customHeight="false" outlineLevel="0" collapsed="false">
      <c r="A69" s="0" t="s">
        <v>35</v>
      </c>
      <c r="B69" s="0" t="s">
        <v>263</v>
      </c>
      <c r="C69" s="0" t="n">
        <v>5</v>
      </c>
    </row>
    <row r="70" customFormat="false" ht="15" hidden="false" customHeight="false" outlineLevel="0" collapsed="false">
      <c r="A70" s="0" t="s">
        <v>35</v>
      </c>
      <c r="B70" s="0" t="s">
        <v>263</v>
      </c>
      <c r="C70" s="0" t="n">
        <v>5</v>
      </c>
    </row>
    <row r="71" customFormat="false" ht="15" hidden="false" customHeight="false" outlineLevel="0" collapsed="false">
      <c r="A71" s="0" t="s">
        <v>35</v>
      </c>
      <c r="B71" s="0" t="s">
        <v>263</v>
      </c>
      <c r="C71" s="0" t="n">
        <v>12</v>
      </c>
    </row>
    <row r="72" customFormat="false" ht="15" hidden="false" customHeight="false" outlineLevel="0" collapsed="false">
      <c r="A72" s="0" t="s">
        <v>35</v>
      </c>
      <c r="B72" s="0" t="s">
        <v>265</v>
      </c>
      <c r="C72" s="0" t="n">
        <v>33</v>
      </c>
    </row>
    <row r="73" customFormat="false" ht="15" hidden="false" customHeight="false" outlineLevel="0" collapsed="false">
      <c r="A73" s="0" t="s">
        <v>35</v>
      </c>
      <c r="B73" s="0" t="s">
        <v>265</v>
      </c>
      <c r="C73" s="0" t="n">
        <v>27</v>
      </c>
    </row>
    <row r="74" customFormat="false" ht="15" hidden="false" customHeight="false" outlineLevel="0" collapsed="false">
      <c r="A74" s="0" t="s">
        <v>35</v>
      </c>
      <c r="B74" s="0" t="s">
        <v>265</v>
      </c>
      <c r="C74" s="0" t="n">
        <v>44</v>
      </c>
    </row>
    <row r="75" customFormat="false" ht="15" hidden="false" customHeight="false" outlineLevel="0" collapsed="false">
      <c r="A75" s="0" t="s">
        <v>35</v>
      </c>
      <c r="B75" s="0" t="s">
        <v>265</v>
      </c>
      <c r="C75" s="0" t="n">
        <v>31</v>
      </c>
    </row>
    <row r="76" customFormat="false" ht="15" hidden="false" customHeight="false" outlineLevel="0" collapsed="false">
      <c r="A76" s="0" t="s">
        <v>35</v>
      </c>
      <c r="B76" s="0" t="s">
        <v>265</v>
      </c>
      <c r="C76" s="0" t="n">
        <v>32</v>
      </c>
    </row>
    <row r="77" customFormat="false" ht="15" hidden="false" customHeight="false" outlineLevel="0" collapsed="false">
      <c r="A77" s="0" t="s">
        <v>35</v>
      </c>
      <c r="B77" s="0" t="s">
        <v>265</v>
      </c>
      <c r="C77" s="0" t="n">
        <v>39</v>
      </c>
    </row>
    <row r="78" customFormat="false" ht="15" hidden="false" customHeight="false" outlineLevel="0" collapsed="false">
      <c r="A78" s="0" t="s">
        <v>35</v>
      </c>
      <c r="B78" s="0" t="s">
        <v>265</v>
      </c>
      <c r="C78" s="0" t="n">
        <v>44</v>
      </c>
    </row>
    <row r="79" customFormat="false" ht="15" hidden="false" customHeight="false" outlineLevel="0" collapsed="false">
      <c r="A79" s="0" t="s">
        <v>35</v>
      </c>
      <c r="B79" s="0" t="s">
        <v>265</v>
      </c>
      <c r="C79" s="0" t="n">
        <v>24</v>
      </c>
    </row>
    <row r="80" customFormat="false" ht="15" hidden="false" customHeight="false" outlineLevel="0" collapsed="false">
      <c r="A80" s="0" t="s">
        <v>35</v>
      </c>
      <c r="B80" s="0" t="s">
        <v>265</v>
      </c>
      <c r="C80" s="0" t="n">
        <v>52</v>
      </c>
    </row>
    <row r="81" customFormat="false" ht="15" hidden="false" customHeight="false" outlineLevel="0" collapsed="false">
      <c r="A81" s="0" t="s">
        <v>35</v>
      </c>
      <c r="B81" s="0" t="s">
        <v>265</v>
      </c>
      <c r="C81" s="0" t="n">
        <v>44</v>
      </c>
    </row>
    <row r="82" customFormat="false" ht="15" hidden="false" customHeight="false" outlineLevel="0" collapsed="false">
      <c r="A82" s="0" t="s">
        <v>36</v>
      </c>
      <c r="B82" s="0" t="s">
        <v>245</v>
      </c>
      <c r="C82" s="0" t="n">
        <v>9</v>
      </c>
    </row>
    <row r="83" customFormat="false" ht="15" hidden="false" customHeight="false" outlineLevel="0" collapsed="false">
      <c r="A83" s="0" t="s">
        <v>36</v>
      </c>
      <c r="B83" s="0" t="s">
        <v>245</v>
      </c>
      <c r="C83" s="0" t="n">
        <v>10</v>
      </c>
    </row>
    <row r="84" customFormat="false" ht="15" hidden="false" customHeight="false" outlineLevel="0" collapsed="false">
      <c r="A84" s="0" t="s">
        <v>36</v>
      </c>
      <c r="B84" s="0" t="s">
        <v>245</v>
      </c>
      <c r="C84" s="0" t="n">
        <v>18</v>
      </c>
    </row>
    <row r="85" customFormat="false" ht="15" hidden="false" customHeight="false" outlineLevel="0" collapsed="false">
      <c r="A85" s="0" t="s">
        <v>36</v>
      </c>
      <c r="B85" s="0" t="s">
        <v>245</v>
      </c>
      <c r="C85" s="0" t="n">
        <v>12</v>
      </c>
    </row>
    <row r="86" customFormat="false" ht="15" hidden="false" customHeight="false" outlineLevel="0" collapsed="false">
      <c r="A86" s="0" t="s">
        <v>36</v>
      </c>
      <c r="B86" s="0" t="s">
        <v>245</v>
      </c>
      <c r="C86" s="0" t="n">
        <v>17</v>
      </c>
    </row>
    <row r="87" customFormat="false" ht="15" hidden="false" customHeight="false" outlineLevel="0" collapsed="false">
      <c r="A87" s="0" t="s">
        <v>36</v>
      </c>
      <c r="B87" s="0" t="s">
        <v>245</v>
      </c>
      <c r="C87" s="0" t="n">
        <v>14</v>
      </c>
    </row>
    <row r="88" customFormat="false" ht="15" hidden="false" customHeight="false" outlineLevel="0" collapsed="false">
      <c r="A88" s="0" t="s">
        <v>36</v>
      </c>
      <c r="B88" s="0" t="s">
        <v>245</v>
      </c>
      <c r="C88" s="0" t="n">
        <v>12</v>
      </c>
    </row>
    <row r="89" customFormat="false" ht="15" hidden="false" customHeight="false" outlineLevel="0" collapsed="false">
      <c r="A89" s="0" t="s">
        <v>36</v>
      </c>
      <c r="B89" s="0" t="s">
        <v>245</v>
      </c>
      <c r="C89" s="0" t="n">
        <v>0</v>
      </c>
    </row>
    <row r="90" customFormat="false" ht="15" hidden="false" customHeight="false" outlineLevel="0" collapsed="false">
      <c r="A90" s="0" t="s">
        <v>36</v>
      </c>
      <c r="B90" s="0" t="s">
        <v>245</v>
      </c>
      <c r="C90" s="0" t="n">
        <v>17</v>
      </c>
    </row>
    <row r="91" customFormat="false" ht="15" hidden="false" customHeight="false" outlineLevel="0" collapsed="false">
      <c r="A91" s="0" t="s">
        <v>36</v>
      </c>
      <c r="B91" s="0" t="s">
        <v>245</v>
      </c>
      <c r="C91" s="0" t="n">
        <v>16</v>
      </c>
    </row>
    <row r="92" customFormat="false" ht="15" hidden="false" customHeight="false" outlineLevel="0" collapsed="false">
      <c r="A92" s="0" t="s">
        <v>36</v>
      </c>
      <c r="B92" s="0" t="s">
        <v>257</v>
      </c>
      <c r="C92" s="0" t="n">
        <v>3</v>
      </c>
    </row>
    <row r="93" customFormat="false" ht="15" hidden="false" customHeight="false" outlineLevel="0" collapsed="false">
      <c r="A93" s="0" t="s">
        <v>36</v>
      </c>
      <c r="B93" s="0" t="s">
        <v>257</v>
      </c>
      <c r="C93" s="0" t="n">
        <v>4</v>
      </c>
    </row>
    <row r="94" customFormat="false" ht="15" hidden="false" customHeight="false" outlineLevel="0" collapsed="false">
      <c r="A94" s="0" t="s">
        <v>36</v>
      </c>
      <c r="B94" s="0" t="s">
        <v>257</v>
      </c>
      <c r="C94" s="0" t="n">
        <v>5</v>
      </c>
    </row>
    <row r="95" customFormat="false" ht="15" hidden="false" customHeight="false" outlineLevel="0" collapsed="false">
      <c r="A95" s="0" t="s">
        <v>36</v>
      </c>
      <c r="B95" s="0" t="s">
        <v>257</v>
      </c>
      <c r="C95" s="0" t="n">
        <v>0</v>
      </c>
    </row>
    <row r="96" customFormat="false" ht="15" hidden="false" customHeight="false" outlineLevel="0" collapsed="false">
      <c r="A96" s="0" t="s">
        <v>36</v>
      </c>
      <c r="B96" s="0" t="s">
        <v>257</v>
      </c>
      <c r="C96" s="0" t="n">
        <v>2</v>
      </c>
    </row>
    <row r="97" customFormat="false" ht="15" hidden="false" customHeight="false" outlineLevel="0" collapsed="false">
      <c r="A97" s="0" t="s">
        <v>36</v>
      </c>
      <c r="B97" s="0" t="s">
        <v>257</v>
      </c>
      <c r="C97" s="0" t="n">
        <v>-2</v>
      </c>
    </row>
    <row r="98" customFormat="false" ht="15" hidden="false" customHeight="false" outlineLevel="0" collapsed="false">
      <c r="A98" s="0" t="s">
        <v>36</v>
      </c>
      <c r="B98" s="0" t="s">
        <v>257</v>
      </c>
      <c r="C98" s="0" t="n">
        <v>-4</v>
      </c>
    </row>
    <row r="99" customFormat="false" ht="15" hidden="false" customHeight="false" outlineLevel="0" collapsed="false">
      <c r="A99" s="0" t="s">
        <v>36</v>
      </c>
      <c r="B99" s="0" t="s">
        <v>257</v>
      </c>
      <c r="C99" s="0" t="n">
        <v>-11</v>
      </c>
    </row>
    <row r="100" customFormat="false" ht="15" hidden="false" customHeight="false" outlineLevel="0" collapsed="false">
      <c r="A100" s="0" t="s">
        <v>36</v>
      </c>
      <c r="B100" s="0" t="s">
        <v>257</v>
      </c>
      <c r="C100" s="0" t="n">
        <v>-1</v>
      </c>
    </row>
    <row r="101" customFormat="false" ht="15" hidden="false" customHeight="false" outlineLevel="0" collapsed="false">
      <c r="A101" s="0" t="s">
        <v>36</v>
      </c>
      <c r="B101" s="0" t="s">
        <v>257</v>
      </c>
      <c r="C101" s="0" t="n">
        <v>2</v>
      </c>
    </row>
    <row r="102" customFormat="false" ht="15" hidden="false" customHeight="false" outlineLevel="0" collapsed="false">
      <c r="A102" s="0" t="s">
        <v>36</v>
      </c>
      <c r="B102" s="0" t="s">
        <v>263</v>
      </c>
      <c r="C102" s="0" t="n">
        <v>5</v>
      </c>
    </row>
    <row r="103" customFormat="false" ht="15" hidden="false" customHeight="false" outlineLevel="0" collapsed="false">
      <c r="A103" s="0" t="s">
        <v>36</v>
      </c>
      <c r="B103" s="0" t="s">
        <v>263</v>
      </c>
      <c r="C103" s="0" t="n">
        <v>3</v>
      </c>
    </row>
    <row r="104" customFormat="false" ht="15" hidden="false" customHeight="false" outlineLevel="0" collapsed="false">
      <c r="A104" s="0" t="s">
        <v>36</v>
      </c>
      <c r="B104" s="0" t="s">
        <v>263</v>
      </c>
      <c r="C104" s="0" t="n">
        <v>4</v>
      </c>
    </row>
    <row r="105" customFormat="false" ht="15" hidden="false" customHeight="false" outlineLevel="0" collapsed="false">
      <c r="A105" s="0" t="s">
        <v>36</v>
      </c>
      <c r="B105" s="0" t="s">
        <v>263</v>
      </c>
      <c r="C105" s="0" t="n">
        <v>5</v>
      </c>
    </row>
    <row r="106" customFormat="false" ht="15" hidden="false" customHeight="false" outlineLevel="0" collapsed="false">
      <c r="A106" s="0" t="s">
        <v>36</v>
      </c>
      <c r="B106" s="0" t="s">
        <v>263</v>
      </c>
      <c r="C106" s="0" t="n">
        <v>3</v>
      </c>
    </row>
    <row r="107" customFormat="false" ht="15" hidden="false" customHeight="false" outlineLevel="0" collapsed="false">
      <c r="A107" s="0" t="s">
        <v>36</v>
      </c>
      <c r="B107" s="0" t="s">
        <v>263</v>
      </c>
      <c r="C107" s="0" t="n">
        <v>-2</v>
      </c>
    </row>
    <row r="108" customFormat="false" ht="15" hidden="false" customHeight="false" outlineLevel="0" collapsed="false">
      <c r="A108" s="0" t="s">
        <v>36</v>
      </c>
      <c r="B108" s="0" t="s">
        <v>263</v>
      </c>
      <c r="C108" s="0" t="n">
        <v>-5</v>
      </c>
    </row>
    <row r="109" customFormat="false" ht="15" hidden="false" customHeight="false" outlineLevel="0" collapsed="false">
      <c r="A109" s="0" t="s">
        <v>36</v>
      </c>
      <c r="B109" s="0" t="s">
        <v>263</v>
      </c>
      <c r="C109" s="0" t="n">
        <v>-9</v>
      </c>
    </row>
    <row r="110" customFormat="false" ht="15" hidden="false" customHeight="false" outlineLevel="0" collapsed="false">
      <c r="A110" s="0" t="s">
        <v>36</v>
      </c>
      <c r="B110" s="0" t="s">
        <v>263</v>
      </c>
      <c r="C110" s="0" t="n">
        <v>1</v>
      </c>
    </row>
    <row r="111" customFormat="false" ht="15" hidden="false" customHeight="false" outlineLevel="0" collapsed="false">
      <c r="A111" s="0" t="s">
        <v>36</v>
      </c>
      <c r="B111" s="0" t="s">
        <v>263</v>
      </c>
      <c r="C111" s="0" t="n">
        <v>0</v>
      </c>
    </row>
    <row r="112" customFormat="false" ht="15" hidden="false" customHeight="false" outlineLevel="0" collapsed="false">
      <c r="A112" s="0" t="s">
        <v>36</v>
      </c>
      <c r="B112" s="0" t="s">
        <v>265</v>
      </c>
      <c r="C112" s="0" t="n">
        <v>17</v>
      </c>
    </row>
    <row r="113" customFormat="false" ht="15" hidden="false" customHeight="false" outlineLevel="0" collapsed="false">
      <c r="A113" s="0" t="s">
        <v>36</v>
      </c>
      <c r="B113" s="0" t="s">
        <v>265</v>
      </c>
      <c r="C113" s="0" t="n">
        <v>17</v>
      </c>
    </row>
    <row r="114" customFormat="false" ht="15" hidden="false" customHeight="false" outlineLevel="0" collapsed="false">
      <c r="A114" s="0" t="s">
        <v>36</v>
      </c>
      <c r="B114" s="0" t="s">
        <v>265</v>
      </c>
      <c r="C114" s="0" t="n">
        <v>27</v>
      </c>
    </row>
    <row r="115" customFormat="false" ht="15" hidden="false" customHeight="false" outlineLevel="0" collapsed="false">
      <c r="A115" s="0" t="s">
        <v>36</v>
      </c>
      <c r="B115" s="0" t="s">
        <v>265</v>
      </c>
      <c r="C115" s="0" t="n">
        <v>17</v>
      </c>
    </row>
    <row r="116" customFormat="false" ht="15" hidden="false" customHeight="false" outlineLevel="0" collapsed="false">
      <c r="A116" s="0" t="s">
        <v>36</v>
      </c>
      <c r="B116" s="0" t="s">
        <v>265</v>
      </c>
      <c r="C116" s="0" t="n">
        <v>28</v>
      </c>
    </row>
    <row r="117" customFormat="false" ht="15" hidden="false" customHeight="false" outlineLevel="0" collapsed="false">
      <c r="A117" s="0" t="s">
        <v>36</v>
      </c>
      <c r="B117" s="0" t="s">
        <v>265</v>
      </c>
      <c r="C117" s="0" t="n">
        <v>14</v>
      </c>
    </row>
    <row r="118" customFormat="false" ht="15" hidden="false" customHeight="false" outlineLevel="0" collapsed="false">
      <c r="A118" s="0" t="s">
        <v>36</v>
      </c>
      <c r="B118" s="0" t="s">
        <v>265</v>
      </c>
      <c r="C118" s="0" t="n">
        <v>21</v>
      </c>
    </row>
    <row r="119" customFormat="false" ht="15" hidden="false" customHeight="false" outlineLevel="0" collapsed="false">
      <c r="A119" s="0" t="s">
        <v>36</v>
      </c>
      <c r="B119" s="0" t="s">
        <v>265</v>
      </c>
      <c r="C119" s="0" t="n">
        <v>8</v>
      </c>
    </row>
    <row r="120" customFormat="false" ht="15" hidden="false" customHeight="false" outlineLevel="0" collapsed="false">
      <c r="A120" s="0" t="s">
        <v>36</v>
      </c>
      <c r="B120" s="0" t="s">
        <v>265</v>
      </c>
      <c r="C120" s="0" t="n">
        <v>19</v>
      </c>
    </row>
    <row r="121" customFormat="false" ht="15" hidden="false" customHeight="false" outlineLevel="0" collapsed="false">
      <c r="A121" s="0" t="s">
        <v>36</v>
      </c>
      <c r="B121" s="0" t="s">
        <v>265</v>
      </c>
      <c r="C121" s="0" t="n">
        <v>18</v>
      </c>
    </row>
    <row r="122" customFormat="false" ht="15" hidden="false" customHeight="false" outlineLevel="0" collapsed="false">
      <c r="A122" s="0" t="s">
        <v>37</v>
      </c>
      <c r="B122" s="0" t="s">
        <v>245</v>
      </c>
      <c r="C122" s="0" t="n">
        <v>-2</v>
      </c>
    </row>
    <row r="123" customFormat="false" ht="15" hidden="false" customHeight="false" outlineLevel="0" collapsed="false">
      <c r="A123" s="0" t="s">
        <v>37</v>
      </c>
      <c r="B123" s="0" t="s">
        <v>245</v>
      </c>
      <c r="C123" s="0" t="n">
        <v>0</v>
      </c>
    </row>
    <row r="124" customFormat="false" ht="15" hidden="false" customHeight="false" outlineLevel="0" collapsed="false">
      <c r="A124" s="0" t="s">
        <v>37</v>
      </c>
      <c r="B124" s="0" t="s">
        <v>245</v>
      </c>
      <c r="C124" s="0" t="n">
        <v>-7</v>
      </c>
    </row>
    <row r="125" customFormat="false" ht="15" hidden="false" customHeight="false" outlineLevel="0" collapsed="false">
      <c r="A125" s="0" t="s">
        <v>37</v>
      </c>
      <c r="B125" s="0" t="s">
        <v>245</v>
      </c>
      <c r="C125" s="0" t="n">
        <v>5</v>
      </c>
    </row>
    <row r="126" customFormat="false" ht="15" hidden="false" customHeight="false" outlineLevel="0" collapsed="false">
      <c r="A126" s="0" t="s">
        <v>37</v>
      </c>
      <c r="B126" s="0" t="s">
        <v>245</v>
      </c>
      <c r="C126" s="0" t="n">
        <v>0</v>
      </c>
    </row>
    <row r="127" customFormat="false" ht="15" hidden="false" customHeight="false" outlineLevel="0" collapsed="false">
      <c r="A127" s="0" t="s">
        <v>37</v>
      </c>
      <c r="B127" s="0" t="s">
        <v>245</v>
      </c>
      <c r="C127" s="0" t="n">
        <v>-4</v>
      </c>
    </row>
    <row r="128" customFormat="false" ht="15" hidden="false" customHeight="false" outlineLevel="0" collapsed="false">
      <c r="A128" s="0" t="s">
        <v>37</v>
      </c>
      <c r="B128" s="0" t="s">
        <v>245</v>
      </c>
      <c r="C128" s="0" t="n">
        <v>1</v>
      </c>
    </row>
    <row r="129" customFormat="false" ht="15" hidden="false" customHeight="false" outlineLevel="0" collapsed="false">
      <c r="A129" s="0" t="s">
        <v>37</v>
      </c>
      <c r="B129" s="0" t="s">
        <v>245</v>
      </c>
      <c r="C129" s="0" t="n">
        <v>3</v>
      </c>
    </row>
    <row r="130" customFormat="false" ht="15" hidden="false" customHeight="false" outlineLevel="0" collapsed="false">
      <c r="A130" s="0" t="s">
        <v>37</v>
      </c>
      <c r="B130" s="0" t="s">
        <v>245</v>
      </c>
      <c r="C130" s="0" t="n">
        <v>1</v>
      </c>
    </row>
    <row r="131" customFormat="false" ht="15" hidden="false" customHeight="false" outlineLevel="0" collapsed="false">
      <c r="A131" s="0" t="s">
        <v>37</v>
      </c>
      <c r="B131" s="0" t="s">
        <v>245</v>
      </c>
      <c r="C131" s="0" t="n">
        <v>0</v>
      </c>
    </row>
    <row r="132" customFormat="false" ht="15" hidden="false" customHeight="false" outlineLevel="0" collapsed="false">
      <c r="A132" s="0" t="s">
        <v>37</v>
      </c>
      <c r="B132" s="0" t="s">
        <v>257</v>
      </c>
      <c r="C132" s="0" t="n">
        <v>0</v>
      </c>
    </row>
    <row r="133" customFormat="false" ht="15" hidden="false" customHeight="false" outlineLevel="0" collapsed="false">
      <c r="A133" s="0" t="s">
        <v>37</v>
      </c>
      <c r="B133" s="0" t="s">
        <v>257</v>
      </c>
      <c r="C133" s="0" t="n">
        <v>3</v>
      </c>
    </row>
    <row r="134" customFormat="false" ht="15" hidden="false" customHeight="false" outlineLevel="0" collapsed="false">
      <c r="A134" s="0" t="s">
        <v>37</v>
      </c>
      <c r="B134" s="0" t="s">
        <v>257</v>
      </c>
      <c r="C134" s="0" t="n">
        <v>-7</v>
      </c>
    </row>
    <row r="135" customFormat="false" ht="15" hidden="false" customHeight="false" outlineLevel="0" collapsed="false">
      <c r="A135" s="0" t="s">
        <v>37</v>
      </c>
      <c r="B135" s="0" t="s">
        <v>257</v>
      </c>
      <c r="C135" s="0" t="n">
        <v>1</v>
      </c>
    </row>
    <row r="136" customFormat="false" ht="15" hidden="false" customHeight="false" outlineLevel="0" collapsed="false">
      <c r="A136" s="0" t="s">
        <v>37</v>
      </c>
      <c r="B136" s="0" t="s">
        <v>257</v>
      </c>
      <c r="C136" s="0" t="n">
        <v>3</v>
      </c>
    </row>
    <row r="137" customFormat="false" ht="15" hidden="false" customHeight="false" outlineLevel="0" collapsed="false">
      <c r="A137" s="0" t="s">
        <v>37</v>
      </c>
      <c r="B137" s="0" t="s">
        <v>257</v>
      </c>
      <c r="C137" s="0" t="n">
        <v>-3</v>
      </c>
    </row>
    <row r="138" customFormat="false" ht="15" hidden="false" customHeight="false" outlineLevel="0" collapsed="false">
      <c r="A138" s="0" t="s">
        <v>37</v>
      </c>
      <c r="B138" s="0" t="s">
        <v>257</v>
      </c>
      <c r="C138" s="0" t="n">
        <v>1</v>
      </c>
    </row>
    <row r="139" customFormat="false" ht="15" hidden="false" customHeight="false" outlineLevel="0" collapsed="false">
      <c r="A139" s="0" t="s">
        <v>37</v>
      </c>
      <c r="B139" s="0" t="s">
        <v>257</v>
      </c>
      <c r="C139" s="0" t="n">
        <v>1</v>
      </c>
    </row>
    <row r="140" customFormat="false" ht="15" hidden="false" customHeight="false" outlineLevel="0" collapsed="false">
      <c r="A140" s="0" t="s">
        <v>37</v>
      </c>
      <c r="B140" s="0" t="s">
        <v>257</v>
      </c>
      <c r="C140" s="0" t="n">
        <v>2</v>
      </c>
    </row>
    <row r="141" customFormat="false" ht="15" hidden="false" customHeight="false" outlineLevel="0" collapsed="false">
      <c r="A141" s="0" t="s">
        <v>37</v>
      </c>
      <c r="B141" s="0" t="s">
        <v>257</v>
      </c>
      <c r="C141" s="0" t="n">
        <v>7</v>
      </c>
    </row>
    <row r="142" customFormat="false" ht="15" hidden="false" customHeight="false" outlineLevel="0" collapsed="false">
      <c r="A142" s="0" t="s">
        <v>37</v>
      </c>
      <c r="B142" s="0" t="s">
        <v>263</v>
      </c>
      <c r="C142" s="0" t="n">
        <v>-1</v>
      </c>
    </row>
    <row r="143" customFormat="false" ht="15" hidden="false" customHeight="false" outlineLevel="0" collapsed="false">
      <c r="A143" s="0" t="s">
        <v>37</v>
      </c>
      <c r="B143" s="0" t="s">
        <v>263</v>
      </c>
      <c r="C143" s="0" t="n">
        <v>4</v>
      </c>
    </row>
    <row r="144" customFormat="false" ht="15" hidden="false" customHeight="false" outlineLevel="0" collapsed="false">
      <c r="A144" s="0" t="s">
        <v>37</v>
      </c>
      <c r="B144" s="0" t="s">
        <v>263</v>
      </c>
      <c r="C144" s="0" t="n">
        <v>-7</v>
      </c>
    </row>
    <row r="145" customFormat="false" ht="15" hidden="false" customHeight="false" outlineLevel="0" collapsed="false">
      <c r="A145" s="0" t="s">
        <v>37</v>
      </c>
      <c r="B145" s="0" t="s">
        <v>263</v>
      </c>
      <c r="C145" s="0" t="n">
        <v>1</v>
      </c>
    </row>
    <row r="146" customFormat="false" ht="15" hidden="false" customHeight="false" outlineLevel="0" collapsed="false">
      <c r="A146" s="0" t="s">
        <v>37</v>
      </c>
      <c r="B146" s="0" t="s">
        <v>263</v>
      </c>
      <c r="C146" s="0" t="n">
        <v>2</v>
      </c>
    </row>
    <row r="147" customFormat="false" ht="15" hidden="false" customHeight="false" outlineLevel="0" collapsed="false">
      <c r="A147" s="0" t="s">
        <v>37</v>
      </c>
      <c r="B147" s="0" t="s">
        <v>263</v>
      </c>
      <c r="C147" s="0" t="n">
        <v>-4</v>
      </c>
    </row>
    <row r="148" customFormat="false" ht="15" hidden="false" customHeight="false" outlineLevel="0" collapsed="false">
      <c r="A148" s="0" t="s">
        <v>37</v>
      </c>
      <c r="B148" s="0" t="s">
        <v>263</v>
      </c>
      <c r="C148" s="0" t="n">
        <v>1</v>
      </c>
    </row>
    <row r="149" customFormat="false" ht="15" hidden="false" customHeight="false" outlineLevel="0" collapsed="false">
      <c r="A149" s="0" t="s">
        <v>37</v>
      </c>
      <c r="B149" s="0" t="s">
        <v>263</v>
      </c>
      <c r="C149" s="0" t="n">
        <v>0</v>
      </c>
    </row>
    <row r="150" customFormat="false" ht="15" hidden="false" customHeight="false" outlineLevel="0" collapsed="false">
      <c r="A150" s="0" t="s">
        <v>37</v>
      </c>
      <c r="B150" s="0" t="s">
        <v>263</v>
      </c>
      <c r="C150" s="0" t="n">
        <v>2</v>
      </c>
    </row>
    <row r="151" customFormat="false" ht="15" hidden="false" customHeight="false" outlineLevel="0" collapsed="false">
      <c r="A151" s="0" t="s">
        <v>37</v>
      </c>
      <c r="B151" s="0" t="s">
        <v>263</v>
      </c>
      <c r="C151" s="0" t="n">
        <v>7</v>
      </c>
    </row>
    <row r="152" customFormat="false" ht="15" hidden="false" customHeight="false" outlineLevel="0" collapsed="false">
      <c r="A152" s="0" t="s">
        <v>37</v>
      </c>
      <c r="B152" s="0" t="s">
        <v>265</v>
      </c>
      <c r="C152" s="0" t="n">
        <v>1</v>
      </c>
    </row>
    <row r="153" customFormat="false" ht="15" hidden="false" customHeight="false" outlineLevel="0" collapsed="false">
      <c r="A153" s="0" t="s">
        <v>37</v>
      </c>
      <c r="B153" s="0" t="s">
        <v>265</v>
      </c>
      <c r="C153" s="0" t="n">
        <v>11</v>
      </c>
    </row>
    <row r="154" customFormat="false" ht="15" hidden="false" customHeight="false" outlineLevel="0" collapsed="false">
      <c r="A154" s="0" t="s">
        <v>37</v>
      </c>
      <c r="B154" s="0" t="s">
        <v>265</v>
      </c>
      <c r="C154" s="0" t="n">
        <v>-7</v>
      </c>
    </row>
    <row r="155" customFormat="false" ht="15" hidden="false" customHeight="false" outlineLevel="0" collapsed="false">
      <c r="A155" s="0" t="s">
        <v>37</v>
      </c>
      <c r="B155" s="0" t="s">
        <v>265</v>
      </c>
      <c r="C155" s="0" t="n">
        <v>7</v>
      </c>
    </row>
    <row r="156" customFormat="false" ht="15" hidden="false" customHeight="false" outlineLevel="0" collapsed="false">
      <c r="A156" s="0" t="s">
        <v>37</v>
      </c>
      <c r="B156" s="0" t="s">
        <v>265</v>
      </c>
      <c r="C156" s="0" t="n">
        <v>5</v>
      </c>
    </row>
    <row r="157" customFormat="false" ht="15" hidden="false" customHeight="false" outlineLevel="0" collapsed="false">
      <c r="A157" s="0" t="s">
        <v>37</v>
      </c>
      <c r="B157" s="0" t="s">
        <v>265</v>
      </c>
      <c r="C157" s="0" t="n">
        <v>-3</v>
      </c>
    </row>
    <row r="158" customFormat="false" ht="15" hidden="false" customHeight="false" outlineLevel="0" collapsed="false">
      <c r="A158" s="0" t="s">
        <v>37</v>
      </c>
      <c r="B158" s="0" t="s">
        <v>265</v>
      </c>
      <c r="C158" s="0" t="n">
        <v>7</v>
      </c>
    </row>
    <row r="159" customFormat="false" ht="15" hidden="false" customHeight="false" outlineLevel="0" collapsed="false">
      <c r="A159" s="0" t="s">
        <v>37</v>
      </c>
      <c r="B159" s="0" t="s">
        <v>265</v>
      </c>
      <c r="C159" s="0" t="n">
        <v>8</v>
      </c>
    </row>
    <row r="160" customFormat="false" ht="15" hidden="false" customHeight="false" outlineLevel="0" collapsed="false">
      <c r="A160" s="0" t="s">
        <v>37</v>
      </c>
      <c r="B160" s="0" t="s">
        <v>265</v>
      </c>
      <c r="C160" s="0" t="n">
        <v>5</v>
      </c>
    </row>
    <row r="161" customFormat="false" ht="15" hidden="false" customHeight="false" outlineLevel="0" collapsed="false">
      <c r="A161" s="0" t="s">
        <v>37</v>
      </c>
      <c r="B161" s="0" t="s">
        <v>265</v>
      </c>
      <c r="C161" s="0" t="n">
        <v>14</v>
      </c>
    </row>
    <row r="162" customFormat="false" ht="15" hidden="false" customHeight="false" outlineLevel="0" collapsed="false">
      <c r="A162" s="0" t="s">
        <v>38</v>
      </c>
      <c r="B162" s="0" t="s">
        <v>245</v>
      </c>
      <c r="C162" s="0" t="n">
        <v>8</v>
      </c>
    </row>
    <row r="163" customFormat="false" ht="15" hidden="false" customHeight="false" outlineLevel="0" collapsed="false">
      <c r="A163" s="0" t="s">
        <v>38</v>
      </c>
      <c r="B163" s="0" t="s">
        <v>245</v>
      </c>
      <c r="C163" s="0" t="n">
        <v>4</v>
      </c>
    </row>
    <row r="164" customFormat="false" ht="15" hidden="false" customHeight="false" outlineLevel="0" collapsed="false">
      <c r="A164" s="0" t="s">
        <v>38</v>
      </c>
      <c r="B164" s="0" t="s">
        <v>245</v>
      </c>
      <c r="C164" s="0" t="n">
        <v>8</v>
      </c>
    </row>
    <row r="165" customFormat="false" ht="15" hidden="false" customHeight="false" outlineLevel="0" collapsed="false">
      <c r="A165" s="0" t="s">
        <v>38</v>
      </c>
      <c r="B165" s="0" t="s">
        <v>245</v>
      </c>
      <c r="C165" s="0" t="n">
        <v>4</v>
      </c>
    </row>
    <row r="166" customFormat="false" ht="15" hidden="false" customHeight="false" outlineLevel="0" collapsed="false">
      <c r="A166" s="0" t="s">
        <v>38</v>
      </c>
      <c r="B166" s="0" t="s">
        <v>245</v>
      </c>
      <c r="C166" s="0" t="n">
        <v>1</v>
      </c>
    </row>
    <row r="167" customFormat="false" ht="15" hidden="false" customHeight="false" outlineLevel="0" collapsed="false">
      <c r="A167" s="0" t="s">
        <v>38</v>
      </c>
      <c r="B167" s="0" t="s">
        <v>245</v>
      </c>
      <c r="C167" s="0" t="n">
        <v>7</v>
      </c>
    </row>
    <row r="168" customFormat="false" ht="15" hidden="false" customHeight="false" outlineLevel="0" collapsed="false">
      <c r="A168" s="0" t="s">
        <v>38</v>
      </c>
      <c r="B168" s="0" t="s">
        <v>245</v>
      </c>
      <c r="C168" s="0" t="n">
        <v>1</v>
      </c>
    </row>
    <row r="169" customFormat="false" ht="15" hidden="false" customHeight="false" outlineLevel="0" collapsed="false">
      <c r="A169" s="0" t="s">
        <v>38</v>
      </c>
      <c r="B169" s="0" t="s">
        <v>245</v>
      </c>
      <c r="C169" s="0" t="n">
        <v>7</v>
      </c>
    </row>
    <row r="170" customFormat="false" ht="15" hidden="false" customHeight="false" outlineLevel="0" collapsed="false">
      <c r="A170" s="0" t="s">
        <v>38</v>
      </c>
      <c r="B170" s="0" t="s">
        <v>245</v>
      </c>
      <c r="C170" s="0" t="n">
        <v>-1</v>
      </c>
    </row>
    <row r="171" customFormat="false" ht="15" hidden="false" customHeight="false" outlineLevel="0" collapsed="false">
      <c r="A171" s="0" t="s">
        <v>38</v>
      </c>
      <c r="B171" s="0" t="s">
        <v>245</v>
      </c>
      <c r="C171" s="0" t="n">
        <v>5</v>
      </c>
    </row>
    <row r="172" customFormat="false" ht="15" hidden="false" customHeight="false" outlineLevel="0" collapsed="false">
      <c r="A172" s="0" t="s">
        <v>38</v>
      </c>
      <c r="B172" s="0" t="s">
        <v>257</v>
      </c>
      <c r="C172" s="0" t="n">
        <v>-4</v>
      </c>
    </row>
    <row r="173" customFormat="false" ht="15" hidden="false" customHeight="false" outlineLevel="0" collapsed="false">
      <c r="A173" s="0" t="s">
        <v>38</v>
      </c>
      <c r="B173" s="0" t="s">
        <v>257</v>
      </c>
      <c r="C173" s="0" t="n">
        <v>-1</v>
      </c>
    </row>
    <row r="174" customFormat="false" ht="15" hidden="false" customHeight="false" outlineLevel="0" collapsed="false">
      <c r="A174" s="0" t="s">
        <v>38</v>
      </c>
      <c r="B174" s="0" t="s">
        <v>257</v>
      </c>
      <c r="C174" s="0" t="n">
        <v>2</v>
      </c>
    </row>
    <row r="175" customFormat="false" ht="15" hidden="false" customHeight="false" outlineLevel="0" collapsed="false">
      <c r="A175" s="0" t="s">
        <v>38</v>
      </c>
      <c r="B175" s="0" t="s">
        <v>257</v>
      </c>
      <c r="C175" s="0" t="n">
        <v>2</v>
      </c>
    </row>
    <row r="176" customFormat="false" ht="15" hidden="false" customHeight="false" outlineLevel="0" collapsed="false">
      <c r="A176" s="0" t="s">
        <v>38</v>
      </c>
      <c r="B176" s="0" t="s">
        <v>257</v>
      </c>
      <c r="C176" s="0" t="n">
        <v>-2</v>
      </c>
    </row>
    <row r="177" customFormat="false" ht="15" hidden="false" customHeight="false" outlineLevel="0" collapsed="false">
      <c r="A177" s="0" t="s">
        <v>38</v>
      </c>
      <c r="B177" s="0" t="s">
        <v>257</v>
      </c>
      <c r="C177" s="0" t="n">
        <v>6</v>
      </c>
    </row>
    <row r="178" customFormat="false" ht="15" hidden="false" customHeight="false" outlineLevel="0" collapsed="false">
      <c r="A178" s="0" t="s">
        <v>38</v>
      </c>
      <c r="B178" s="0" t="s">
        <v>257</v>
      </c>
      <c r="C178" s="0" t="n">
        <v>0</v>
      </c>
    </row>
    <row r="179" customFormat="false" ht="15" hidden="false" customHeight="false" outlineLevel="0" collapsed="false">
      <c r="A179" s="0" t="s">
        <v>38</v>
      </c>
      <c r="B179" s="0" t="s">
        <v>257</v>
      </c>
      <c r="C179" s="0" t="n">
        <v>4</v>
      </c>
    </row>
    <row r="180" customFormat="false" ht="15" hidden="false" customHeight="false" outlineLevel="0" collapsed="false">
      <c r="A180" s="0" t="s">
        <v>38</v>
      </c>
      <c r="B180" s="0" t="s">
        <v>257</v>
      </c>
      <c r="C180" s="0" t="n">
        <v>-1</v>
      </c>
    </row>
    <row r="181" customFormat="false" ht="15" hidden="false" customHeight="false" outlineLevel="0" collapsed="false">
      <c r="A181" s="0" t="s">
        <v>38</v>
      </c>
      <c r="B181" s="0" t="s">
        <v>257</v>
      </c>
      <c r="C181" s="0" t="n">
        <v>1</v>
      </c>
    </row>
    <row r="182" customFormat="false" ht="15" hidden="false" customHeight="false" outlineLevel="0" collapsed="false">
      <c r="A182" s="0" t="s">
        <v>38</v>
      </c>
      <c r="B182" s="0" t="s">
        <v>263</v>
      </c>
      <c r="C182" s="0" t="n">
        <v>-4</v>
      </c>
    </row>
    <row r="183" customFormat="false" ht="15" hidden="false" customHeight="false" outlineLevel="0" collapsed="false">
      <c r="A183" s="0" t="s">
        <v>38</v>
      </c>
      <c r="B183" s="0" t="s">
        <v>263</v>
      </c>
      <c r="C183" s="0" t="n">
        <v>2</v>
      </c>
    </row>
    <row r="184" customFormat="false" ht="15" hidden="false" customHeight="false" outlineLevel="0" collapsed="false">
      <c r="A184" s="0" t="s">
        <v>38</v>
      </c>
      <c r="B184" s="0" t="s">
        <v>263</v>
      </c>
      <c r="C184" s="0" t="n">
        <v>2</v>
      </c>
    </row>
    <row r="185" customFormat="false" ht="15" hidden="false" customHeight="false" outlineLevel="0" collapsed="false">
      <c r="A185" s="0" t="s">
        <v>38</v>
      </c>
      <c r="B185" s="0" t="s">
        <v>263</v>
      </c>
      <c r="C185" s="0" t="n">
        <v>2</v>
      </c>
    </row>
    <row r="186" customFormat="false" ht="15" hidden="false" customHeight="false" outlineLevel="0" collapsed="false">
      <c r="A186" s="0" t="s">
        <v>38</v>
      </c>
      <c r="B186" s="0" t="s">
        <v>263</v>
      </c>
      <c r="C186" s="0" t="n">
        <v>-2</v>
      </c>
    </row>
    <row r="187" customFormat="false" ht="15" hidden="false" customHeight="false" outlineLevel="0" collapsed="false">
      <c r="A187" s="0" t="s">
        <v>38</v>
      </c>
      <c r="B187" s="0" t="s">
        <v>263</v>
      </c>
      <c r="C187" s="0" t="n">
        <v>0</v>
      </c>
    </row>
    <row r="188" customFormat="false" ht="15" hidden="false" customHeight="false" outlineLevel="0" collapsed="false">
      <c r="A188" s="0" t="s">
        <v>38</v>
      </c>
      <c r="B188" s="0" t="s">
        <v>263</v>
      </c>
      <c r="C188" s="0" t="n">
        <v>-2</v>
      </c>
    </row>
    <row r="189" customFormat="false" ht="15" hidden="false" customHeight="false" outlineLevel="0" collapsed="false">
      <c r="A189" s="0" t="s">
        <v>38</v>
      </c>
      <c r="B189" s="0" t="s">
        <v>263</v>
      </c>
      <c r="C189" s="0" t="n">
        <v>-2</v>
      </c>
    </row>
    <row r="190" customFormat="false" ht="15" hidden="false" customHeight="false" outlineLevel="0" collapsed="false">
      <c r="A190" s="0" t="s">
        <v>38</v>
      </c>
      <c r="B190" s="0" t="s">
        <v>263</v>
      </c>
      <c r="C190" s="0" t="n">
        <v>-1</v>
      </c>
    </row>
    <row r="191" customFormat="false" ht="15" hidden="false" customHeight="false" outlineLevel="0" collapsed="false">
      <c r="A191" s="0" t="s">
        <v>38</v>
      </c>
      <c r="B191" s="0" t="s">
        <v>263</v>
      </c>
      <c r="C191" s="0" t="n">
        <v>0</v>
      </c>
    </row>
    <row r="192" customFormat="false" ht="15" hidden="false" customHeight="false" outlineLevel="0" collapsed="false">
      <c r="A192" s="0" t="s">
        <v>38</v>
      </c>
      <c r="B192" s="0" t="s">
        <v>265</v>
      </c>
      <c r="C192" s="0" t="n">
        <v>14</v>
      </c>
    </row>
    <row r="193" customFormat="false" ht="15" hidden="false" customHeight="false" outlineLevel="0" collapsed="false">
      <c r="A193" s="0" t="s">
        <v>38</v>
      </c>
      <c r="B193" s="0" t="s">
        <v>265</v>
      </c>
      <c r="C193" s="0" t="n">
        <v>7</v>
      </c>
    </row>
    <row r="194" customFormat="false" ht="15" hidden="false" customHeight="false" outlineLevel="0" collapsed="false">
      <c r="A194" s="0" t="s">
        <v>38</v>
      </c>
      <c r="B194" s="0" t="s">
        <v>265</v>
      </c>
      <c r="C194" s="0" t="n">
        <v>16</v>
      </c>
    </row>
    <row r="195" customFormat="false" ht="15" hidden="false" customHeight="false" outlineLevel="0" collapsed="false">
      <c r="A195" s="0" t="s">
        <v>38</v>
      </c>
      <c r="B195" s="0" t="s">
        <v>265</v>
      </c>
      <c r="C195" s="0" t="n">
        <v>10</v>
      </c>
    </row>
    <row r="196" customFormat="false" ht="15" hidden="false" customHeight="false" outlineLevel="0" collapsed="false">
      <c r="A196" s="0" t="s">
        <v>38</v>
      </c>
      <c r="B196" s="0" t="s">
        <v>265</v>
      </c>
      <c r="C196" s="0" t="n">
        <v>1</v>
      </c>
    </row>
    <row r="197" customFormat="false" ht="15" hidden="false" customHeight="false" outlineLevel="0" collapsed="false">
      <c r="A197" s="0" t="s">
        <v>38</v>
      </c>
      <c r="B197" s="0" t="s">
        <v>265</v>
      </c>
      <c r="C197" s="0" t="n">
        <v>13</v>
      </c>
    </row>
    <row r="198" customFormat="false" ht="15" hidden="false" customHeight="false" outlineLevel="0" collapsed="false">
      <c r="A198" s="0" t="s">
        <v>38</v>
      </c>
      <c r="B198" s="0" t="s">
        <v>265</v>
      </c>
      <c r="C198" s="0" t="n">
        <v>3</v>
      </c>
    </row>
    <row r="199" customFormat="false" ht="15" hidden="false" customHeight="false" outlineLevel="0" collapsed="false">
      <c r="A199" s="0" t="s">
        <v>38</v>
      </c>
      <c r="B199" s="0" t="s">
        <v>265</v>
      </c>
      <c r="C199" s="0" t="n">
        <v>13</v>
      </c>
    </row>
    <row r="200" customFormat="false" ht="15" hidden="false" customHeight="false" outlineLevel="0" collapsed="false">
      <c r="A200" s="0" t="s">
        <v>38</v>
      </c>
      <c r="B200" s="0" t="s">
        <v>265</v>
      </c>
      <c r="C200" s="0" t="n">
        <v>-1</v>
      </c>
    </row>
    <row r="201" customFormat="false" ht="15" hidden="false" customHeight="false" outlineLevel="0" collapsed="false">
      <c r="A201" s="0" t="s">
        <v>38</v>
      </c>
      <c r="B201" s="0" t="s">
        <v>265</v>
      </c>
      <c r="C201" s="0" t="n">
        <v>6</v>
      </c>
    </row>
    <row r="202" customFormat="false" ht="15" hidden="false" customHeight="false" outlineLevel="0" collapsed="false">
      <c r="A202" s="0" t="s">
        <v>39</v>
      </c>
      <c r="B202" s="0" t="s">
        <v>245</v>
      </c>
      <c r="C202" s="0" t="n">
        <v>25</v>
      </c>
    </row>
    <row r="203" customFormat="false" ht="15" hidden="false" customHeight="false" outlineLevel="0" collapsed="false">
      <c r="A203" s="0" t="s">
        <v>39</v>
      </c>
      <c r="B203" s="0" t="s">
        <v>245</v>
      </c>
      <c r="C203" s="0" t="n">
        <v>14</v>
      </c>
    </row>
    <row r="204" customFormat="false" ht="15" hidden="false" customHeight="false" outlineLevel="0" collapsed="false">
      <c r="A204" s="0" t="s">
        <v>39</v>
      </c>
      <c r="B204" s="0" t="s">
        <v>245</v>
      </c>
      <c r="C204" s="0" t="n">
        <v>17</v>
      </c>
    </row>
    <row r="205" customFormat="false" ht="15" hidden="false" customHeight="false" outlineLevel="0" collapsed="false">
      <c r="A205" s="0" t="s">
        <v>39</v>
      </c>
      <c r="B205" s="0" t="s">
        <v>245</v>
      </c>
      <c r="C205" s="0" t="n">
        <v>5</v>
      </c>
    </row>
    <row r="206" customFormat="false" ht="15" hidden="false" customHeight="false" outlineLevel="0" collapsed="false">
      <c r="A206" s="0" t="s">
        <v>39</v>
      </c>
      <c r="B206" s="0" t="s">
        <v>245</v>
      </c>
      <c r="C206" s="0" t="n">
        <v>14</v>
      </c>
    </row>
    <row r="207" customFormat="false" ht="15" hidden="false" customHeight="false" outlineLevel="0" collapsed="false">
      <c r="A207" s="0" t="s">
        <v>39</v>
      </c>
      <c r="B207" s="0" t="s">
        <v>245</v>
      </c>
      <c r="C207" s="0" t="n">
        <v>15</v>
      </c>
    </row>
    <row r="208" customFormat="false" ht="15" hidden="false" customHeight="false" outlineLevel="0" collapsed="false">
      <c r="A208" s="0" t="s">
        <v>39</v>
      </c>
      <c r="B208" s="0" t="s">
        <v>245</v>
      </c>
      <c r="C208" s="0" t="n">
        <v>9</v>
      </c>
    </row>
    <row r="209" customFormat="false" ht="15" hidden="false" customHeight="false" outlineLevel="0" collapsed="false">
      <c r="A209" s="0" t="s">
        <v>39</v>
      </c>
      <c r="B209" s="0" t="s">
        <v>245</v>
      </c>
      <c r="C209" s="0" t="n">
        <v>22</v>
      </c>
    </row>
    <row r="210" customFormat="false" ht="15" hidden="false" customHeight="false" outlineLevel="0" collapsed="false">
      <c r="A210" s="0" t="s">
        <v>39</v>
      </c>
      <c r="B210" s="0" t="s">
        <v>245</v>
      </c>
      <c r="C210" s="0" t="n">
        <v>10</v>
      </c>
    </row>
    <row r="211" customFormat="false" ht="15" hidden="false" customHeight="false" outlineLevel="0" collapsed="false">
      <c r="A211" s="0" t="s">
        <v>39</v>
      </c>
      <c r="B211" s="0" t="s">
        <v>245</v>
      </c>
      <c r="C211" s="0" t="n">
        <v>32</v>
      </c>
    </row>
    <row r="212" customFormat="false" ht="15" hidden="false" customHeight="false" outlineLevel="0" collapsed="false">
      <c r="A212" s="0" t="s">
        <v>39</v>
      </c>
      <c r="B212" s="0" t="s">
        <v>257</v>
      </c>
      <c r="C212" s="0" t="n">
        <v>4</v>
      </c>
    </row>
    <row r="213" customFormat="false" ht="15" hidden="false" customHeight="false" outlineLevel="0" collapsed="false">
      <c r="A213" s="0" t="s">
        <v>39</v>
      </c>
      <c r="B213" s="0" t="s">
        <v>257</v>
      </c>
      <c r="C213" s="0" t="n">
        <v>1</v>
      </c>
    </row>
    <row r="214" customFormat="false" ht="15" hidden="false" customHeight="false" outlineLevel="0" collapsed="false">
      <c r="A214" s="0" t="s">
        <v>39</v>
      </c>
      <c r="B214" s="0" t="s">
        <v>257</v>
      </c>
      <c r="C214" s="0" t="n">
        <v>2</v>
      </c>
    </row>
    <row r="215" customFormat="false" ht="15" hidden="false" customHeight="false" outlineLevel="0" collapsed="false">
      <c r="A215" s="0" t="s">
        <v>39</v>
      </c>
      <c r="B215" s="0" t="s">
        <v>257</v>
      </c>
      <c r="C215" s="0" t="n">
        <v>3</v>
      </c>
    </row>
    <row r="216" customFormat="false" ht="15" hidden="false" customHeight="false" outlineLevel="0" collapsed="false">
      <c r="A216" s="0" t="s">
        <v>39</v>
      </c>
      <c r="B216" s="0" t="s">
        <v>257</v>
      </c>
      <c r="C216" s="0" t="n">
        <v>3</v>
      </c>
    </row>
    <row r="217" customFormat="false" ht="15" hidden="false" customHeight="false" outlineLevel="0" collapsed="false">
      <c r="A217" s="0" t="s">
        <v>39</v>
      </c>
      <c r="B217" s="0" t="s">
        <v>257</v>
      </c>
      <c r="C217" s="0" t="n">
        <v>3</v>
      </c>
    </row>
    <row r="218" customFormat="false" ht="15" hidden="false" customHeight="false" outlineLevel="0" collapsed="false">
      <c r="A218" s="0" t="s">
        <v>39</v>
      </c>
      <c r="B218" s="0" t="s">
        <v>257</v>
      </c>
      <c r="C218" s="0" t="n">
        <v>1</v>
      </c>
    </row>
    <row r="219" customFormat="false" ht="15" hidden="false" customHeight="false" outlineLevel="0" collapsed="false">
      <c r="A219" s="0" t="s">
        <v>39</v>
      </c>
      <c r="B219" s="0" t="s">
        <v>257</v>
      </c>
      <c r="C219" s="0" t="n">
        <v>4</v>
      </c>
    </row>
    <row r="220" customFormat="false" ht="15" hidden="false" customHeight="false" outlineLevel="0" collapsed="false">
      <c r="A220" s="0" t="s">
        <v>39</v>
      </c>
      <c r="B220" s="0" t="s">
        <v>257</v>
      </c>
      <c r="C220" s="0" t="n">
        <v>6</v>
      </c>
    </row>
    <row r="221" customFormat="false" ht="15" hidden="false" customHeight="false" outlineLevel="0" collapsed="false">
      <c r="A221" s="0" t="s">
        <v>39</v>
      </c>
      <c r="B221" s="0" t="s">
        <v>257</v>
      </c>
      <c r="C221" s="0" t="n">
        <v>4</v>
      </c>
    </row>
    <row r="222" customFormat="false" ht="15" hidden="false" customHeight="false" outlineLevel="0" collapsed="false">
      <c r="A222" s="0" t="s">
        <v>39</v>
      </c>
      <c r="B222" s="0" t="s">
        <v>263</v>
      </c>
      <c r="C222" s="0" t="n">
        <v>11</v>
      </c>
    </row>
    <row r="223" customFormat="false" ht="15" hidden="false" customHeight="false" outlineLevel="0" collapsed="false">
      <c r="A223" s="0" t="s">
        <v>39</v>
      </c>
      <c r="B223" s="0" t="s">
        <v>263</v>
      </c>
      <c r="C223" s="0" t="n">
        <v>4</v>
      </c>
    </row>
    <row r="224" customFormat="false" ht="15" hidden="false" customHeight="false" outlineLevel="0" collapsed="false">
      <c r="A224" s="0" t="s">
        <v>39</v>
      </c>
      <c r="B224" s="0" t="s">
        <v>263</v>
      </c>
      <c r="C224" s="0" t="n">
        <v>4</v>
      </c>
    </row>
    <row r="225" customFormat="false" ht="15" hidden="false" customHeight="false" outlineLevel="0" collapsed="false">
      <c r="A225" s="0" t="s">
        <v>39</v>
      </c>
      <c r="B225" s="0" t="s">
        <v>263</v>
      </c>
      <c r="C225" s="0" t="n">
        <v>4</v>
      </c>
    </row>
    <row r="226" customFormat="false" ht="15" hidden="false" customHeight="false" outlineLevel="0" collapsed="false">
      <c r="A226" s="0" t="s">
        <v>39</v>
      </c>
      <c r="B226" s="0" t="s">
        <v>263</v>
      </c>
      <c r="C226" s="0" t="n">
        <v>0</v>
      </c>
    </row>
    <row r="227" customFormat="false" ht="15" hidden="false" customHeight="false" outlineLevel="0" collapsed="false">
      <c r="A227" s="0" t="s">
        <v>39</v>
      </c>
      <c r="B227" s="0" t="s">
        <v>263</v>
      </c>
      <c r="C227" s="0" t="n">
        <v>0</v>
      </c>
    </row>
    <row r="228" customFormat="false" ht="15" hidden="false" customHeight="false" outlineLevel="0" collapsed="false">
      <c r="A228" s="0" t="s">
        <v>39</v>
      </c>
      <c r="B228" s="0" t="s">
        <v>263</v>
      </c>
      <c r="C228" s="0" t="n">
        <v>3</v>
      </c>
    </row>
    <row r="229" customFormat="false" ht="15" hidden="false" customHeight="false" outlineLevel="0" collapsed="false">
      <c r="A229" s="0" t="s">
        <v>39</v>
      </c>
      <c r="B229" s="0" t="s">
        <v>263</v>
      </c>
      <c r="C229" s="0" t="n">
        <v>0</v>
      </c>
    </row>
    <row r="230" customFormat="false" ht="15" hidden="false" customHeight="false" outlineLevel="0" collapsed="false">
      <c r="A230" s="0" t="s">
        <v>39</v>
      </c>
      <c r="B230" s="0" t="s">
        <v>263</v>
      </c>
      <c r="C230" s="0" t="n">
        <v>4</v>
      </c>
    </row>
    <row r="231" customFormat="false" ht="15" hidden="false" customHeight="false" outlineLevel="0" collapsed="false">
      <c r="A231" s="0" t="s">
        <v>39</v>
      </c>
      <c r="B231" s="0" t="s">
        <v>263</v>
      </c>
      <c r="C231" s="0" t="n">
        <v>5</v>
      </c>
    </row>
    <row r="232" customFormat="false" ht="15" hidden="false" customHeight="false" outlineLevel="0" collapsed="false">
      <c r="A232" s="0" t="s">
        <v>39</v>
      </c>
      <c r="B232" s="0" t="s">
        <v>265</v>
      </c>
      <c r="C232" s="0" t="n">
        <v>40</v>
      </c>
    </row>
    <row r="233" customFormat="false" ht="15" hidden="false" customHeight="false" outlineLevel="0" collapsed="false">
      <c r="A233" s="0" t="s">
        <v>39</v>
      </c>
      <c r="B233" s="0" t="s">
        <v>265</v>
      </c>
      <c r="C233" s="0" t="n">
        <v>19</v>
      </c>
    </row>
    <row r="234" customFormat="false" ht="15" hidden="false" customHeight="false" outlineLevel="0" collapsed="false">
      <c r="A234" s="0" t="s">
        <v>39</v>
      </c>
      <c r="B234" s="0" t="s">
        <v>265</v>
      </c>
      <c r="C234" s="0" t="n">
        <v>25</v>
      </c>
    </row>
    <row r="235" customFormat="false" ht="15" hidden="false" customHeight="false" outlineLevel="0" collapsed="false">
      <c r="A235" s="0" t="s">
        <v>39</v>
      </c>
      <c r="B235" s="0" t="s">
        <v>265</v>
      </c>
      <c r="C235" s="0" t="n">
        <v>12</v>
      </c>
    </row>
    <row r="236" customFormat="false" ht="15" hidden="false" customHeight="false" outlineLevel="0" collapsed="false">
      <c r="A236" s="0" t="s">
        <v>39</v>
      </c>
      <c r="B236" s="0" t="s">
        <v>265</v>
      </c>
      <c r="C236" s="0" t="n">
        <v>19</v>
      </c>
    </row>
    <row r="237" customFormat="false" ht="15" hidden="false" customHeight="false" outlineLevel="0" collapsed="false">
      <c r="A237" s="0" t="s">
        <v>39</v>
      </c>
      <c r="B237" s="0" t="s">
        <v>265</v>
      </c>
      <c r="C237" s="0" t="n">
        <v>18</v>
      </c>
    </row>
    <row r="238" customFormat="false" ht="15" hidden="false" customHeight="false" outlineLevel="0" collapsed="false">
      <c r="A238" s="0" t="s">
        <v>39</v>
      </c>
      <c r="B238" s="0" t="s">
        <v>265</v>
      </c>
      <c r="C238" s="0" t="n">
        <v>13</v>
      </c>
    </row>
    <row r="239" customFormat="false" ht="15" hidden="false" customHeight="false" outlineLevel="0" collapsed="false">
      <c r="A239" s="0" t="s">
        <v>39</v>
      </c>
      <c r="B239" s="0" t="s">
        <v>265</v>
      </c>
      <c r="C239" s="0" t="n">
        <v>26</v>
      </c>
    </row>
    <row r="240" customFormat="false" ht="15" hidden="false" customHeight="false" outlineLevel="0" collapsed="false">
      <c r="A240" s="0" t="s">
        <v>39</v>
      </c>
      <c r="B240" s="0" t="s">
        <v>265</v>
      </c>
      <c r="C240" s="0" t="n">
        <v>20</v>
      </c>
    </row>
    <row r="241" customFormat="false" ht="15" hidden="false" customHeight="false" outlineLevel="0" collapsed="false">
      <c r="A241" s="0" t="s">
        <v>39</v>
      </c>
      <c r="B241" s="0" t="s">
        <v>265</v>
      </c>
      <c r="C241" s="0" t="n">
        <v>41</v>
      </c>
    </row>
  </sheetData>
  <mergeCells count="1">
    <mergeCell ref="S38:U3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LibreOffice/7.0.0.3$MacOSX_X86_64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2015-10-19T15:20:29Z</dcterms:created>
  <dc:creator>pc</dc:creator>
  <dc:description/>
  <dc:language>es-AR</dc:language>
  <cp:lastModifiedBy>Andrés Tálamo</cp:lastModifiedBy>
  <dcterms:modified xsi:type="dcterms:W3CDTF">2024-01-18T09:01:59Z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